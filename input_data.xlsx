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st_semester\Electricity_market\Assignment\"/>
    </mc:Choice>
  </mc:AlternateContent>
  <xr:revisionPtr revIDLastSave="0" documentId="13_ncr:1_{8D380C5C-FD41-4D84-A1B5-CBDD788644BA}" xr6:coauthVersionLast="47" xr6:coauthVersionMax="47" xr10:uidLastSave="{00000000-0000-0000-0000-000000000000}"/>
  <bookViews>
    <workbookView xWindow="0" yWindow="360" windowWidth="21795" windowHeight="12975" tabRatio="711" activeTab="7" xr2:uid="{536E7FEE-803F-4D4A-9CA0-6544AD0A20DC}"/>
  </bookViews>
  <sheets>
    <sheet name="gen_map" sheetId="1" r:id="rId1"/>
    <sheet name="gen_data" sheetId="15" r:id="rId2"/>
    <sheet name="load_data" sheetId="16" r:id="rId3"/>
    <sheet name="hourly_load" sheetId="17" r:id="rId4"/>
    <sheet name="line_map" sheetId="5" r:id="rId5"/>
    <sheet name="line_data" sheetId="4" r:id="rId6"/>
    <sheet name="bess_map" sheetId="12" r:id="rId7"/>
    <sheet name="zone_map" sheetId="22" r:id="rId8"/>
    <sheet name="bess_data" sheetId="21" r:id="rId9"/>
    <sheet name="wind_data" sheetId="19" r:id="rId10"/>
    <sheet name="cal_wind" sheetId="13" r:id="rId11"/>
    <sheet name="hourly_wind" sheetId="20" r:id="rId12"/>
    <sheet name="wind_map" sheetId="14" r:id="rId13"/>
  </sheets>
  <definedNames>
    <definedName name="_xlnm._FilterDatabase" localSheetId="1" hidden="1">gen_data!$A$1:$P$13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2" i="4"/>
  <c r="C2" i="13"/>
  <c r="D2" i="13"/>
  <c r="E2" i="13"/>
  <c r="F2" i="13"/>
  <c r="G2" i="13"/>
  <c r="C3" i="13"/>
  <c r="D3" i="13"/>
  <c r="E3" i="13"/>
  <c r="F3" i="13"/>
  <c r="G3" i="13"/>
  <c r="C4" i="13"/>
  <c r="D4" i="13"/>
  <c r="E4" i="13"/>
  <c r="F4" i="13"/>
  <c r="H4" i="13" s="1"/>
  <c r="I4" i="13" s="1"/>
  <c r="G4" i="13"/>
  <c r="C5" i="13"/>
  <c r="H5" i="13" s="1"/>
  <c r="I5" i="13" s="1"/>
  <c r="D5" i="13"/>
  <c r="E5" i="13"/>
  <c r="F5" i="13"/>
  <c r="G5" i="13"/>
  <c r="C6" i="13"/>
  <c r="D6" i="13"/>
  <c r="E6" i="13"/>
  <c r="H6" i="13" s="1"/>
  <c r="I6" i="13" s="1"/>
  <c r="F6" i="13"/>
  <c r="G6" i="13"/>
  <c r="C7" i="13"/>
  <c r="H7" i="13" s="1"/>
  <c r="I7" i="13" s="1"/>
  <c r="D7" i="13"/>
  <c r="E7" i="13"/>
  <c r="F7" i="13"/>
  <c r="G7" i="13"/>
  <c r="C8" i="13"/>
  <c r="H8" i="13" s="1"/>
  <c r="I8" i="13" s="1"/>
  <c r="D8" i="13"/>
  <c r="E8" i="13"/>
  <c r="F8" i="13"/>
  <c r="G8" i="13"/>
  <c r="C9" i="13"/>
  <c r="D9" i="13"/>
  <c r="E9" i="13"/>
  <c r="F9" i="13"/>
  <c r="G9" i="13"/>
  <c r="H9" i="13" s="1"/>
  <c r="I9" i="13" s="1"/>
  <c r="C10" i="13"/>
  <c r="D10" i="13"/>
  <c r="H10" i="13" s="1"/>
  <c r="I10" i="13" s="1"/>
  <c r="E10" i="13"/>
  <c r="F10" i="13"/>
  <c r="G10" i="13"/>
  <c r="C11" i="13"/>
  <c r="H11" i="13" s="1"/>
  <c r="I11" i="13" s="1"/>
  <c r="D11" i="13"/>
  <c r="E11" i="13"/>
  <c r="F11" i="13"/>
  <c r="G11" i="13"/>
  <c r="C12" i="13"/>
  <c r="D12" i="13"/>
  <c r="E12" i="13"/>
  <c r="F12" i="13"/>
  <c r="G12" i="13"/>
  <c r="C13" i="13"/>
  <c r="D13" i="13"/>
  <c r="E13" i="13"/>
  <c r="F13" i="13"/>
  <c r="G13" i="13"/>
  <c r="C14" i="13"/>
  <c r="H14" i="13" s="1"/>
  <c r="I14" i="13" s="1"/>
  <c r="D14" i="13"/>
  <c r="E14" i="13"/>
  <c r="F14" i="13"/>
  <c r="G14" i="13"/>
  <c r="C15" i="13"/>
  <c r="D15" i="13"/>
  <c r="E15" i="13"/>
  <c r="F15" i="13"/>
  <c r="G15" i="13"/>
  <c r="C16" i="13"/>
  <c r="H16" i="13" s="1"/>
  <c r="I16" i="13" s="1"/>
  <c r="D16" i="13"/>
  <c r="E16" i="13"/>
  <c r="F16" i="13"/>
  <c r="G16" i="13"/>
  <c r="C17" i="13"/>
  <c r="H17" i="13" s="1"/>
  <c r="I17" i="13" s="1"/>
  <c r="D17" i="13"/>
  <c r="E17" i="13"/>
  <c r="F17" i="13"/>
  <c r="G17" i="13"/>
  <c r="C18" i="13"/>
  <c r="D18" i="13"/>
  <c r="E18" i="13"/>
  <c r="F18" i="13"/>
  <c r="G18" i="13"/>
  <c r="C19" i="13"/>
  <c r="D19" i="13"/>
  <c r="E19" i="13"/>
  <c r="F19" i="13"/>
  <c r="G19" i="13"/>
  <c r="C20" i="13"/>
  <c r="D20" i="13"/>
  <c r="E20" i="13"/>
  <c r="F20" i="13"/>
  <c r="H20" i="13" s="1"/>
  <c r="I20" i="13" s="1"/>
  <c r="G20" i="13"/>
  <c r="C21" i="13"/>
  <c r="H21" i="13" s="1"/>
  <c r="I21" i="13" s="1"/>
  <c r="D21" i="13"/>
  <c r="E21" i="13"/>
  <c r="F21" i="13"/>
  <c r="G21" i="13"/>
  <c r="C22" i="13"/>
  <c r="D22" i="13"/>
  <c r="E22" i="13"/>
  <c r="H22" i="13" s="1"/>
  <c r="I22" i="13" s="1"/>
  <c r="F22" i="13"/>
  <c r="G22" i="13"/>
  <c r="C23" i="13"/>
  <c r="H23" i="13" s="1"/>
  <c r="I23" i="13" s="1"/>
  <c r="D23" i="13"/>
  <c r="E23" i="13"/>
  <c r="F23" i="13"/>
  <c r="G23" i="13"/>
  <c r="C24" i="13"/>
  <c r="H24" i="13" s="1"/>
  <c r="I24" i="13" s="1"/>
  <c r="D24" i="13"/>
  <c r="E24" i="13"/>
  <c r="F24" i="13"/>
  <c r="G24" i="13"/>
  <c r="C25" i="13"/>
  <c r="D25" i="13"/>
  <c r="E25" i="13"/>
  <c r="F25" i="13"/>
  <c r="G25" i="13"/>
  <c r="H25" i="13" s="1"/>
  <c r="I25" i="13" s="1"/>
  <c r="H2" i="13"/>
  <c r="I2" i="13"/>
  <c r="H3" i="13"/>
  <c r="I3" i="13"/>
  <c r="H12" i="13"/>
  <c r="I12" i="13"/>
  <c r="H13" i="13"/>
  <c r="I13" i="13"/>
  <c r="H15" i="13"/>
  <c r="I15" i="13" s="1"/>
  <c r="H18" i="13"/>
  <c r="I18" i="13"/>
  <c r="H19" i="13"/>
  <c r="I19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" i="13"/>
</calcChain>
</file>

<file path=xl/sharedStrings.xml><?xml version="1.0" encoding="utf-8"?>
<sst xmlns="http://schemas.openxmlformats.org/spreadsheetml/2006/main" count="408" uniqueCount="140">
  <si>
    <t>g1</t>
  </si>
  <si>
    <t>g2</t>
  </si>
  <si>
    <t>g3</t>
  </si>
  <si>
    <t>g4</t>
  </si>
  <si>
    <t>g5</t>
  </si>
  <si>
    <t>g6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</si>
  <si>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</si>
  <si>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</si>
  <si>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</si>
  <si>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</si>
  <si>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</si>
  <si>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</si>
  <si>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</si>
  <si>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</si>
  <si>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</si>
  <si>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</si>
  <si>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</si>
  <si>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</si>
  <si>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</si>
  <si>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</si>
  <si>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</si>
  <si>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</si>
  <si>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</si>
  <si>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</si>
  <si>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</si>
  <si>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</si>
  <si>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</si>
  <si>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</si>
  <si>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</si>
  <si>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</si>
  <si>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</si>
  <si>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</si>
  <si>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</si>
  <si>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</si>
  <si>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</si>
  <si>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</si>
  <si>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</si>
  <si>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</si>
  <si>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</si>
  <si>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</si>
  <si>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</si>
  <si>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</si>
  <si>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</si>
  <si>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</si>
  <si>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</si>
  <si>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</si>
  <si>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</si>
  <si>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</si>
  <si>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</si>
  <si>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</si>
  <si>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</si>
  <si>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</si>
  <si>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</si>
  <si>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</si>
  <si>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</si>
  <si>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</si>
  <si>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</si>
  <si>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</si>
  <si>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</si>
  <si>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</si>
  <si>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</si>
  <si>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</si>
  <si>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</si>
  <si>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</si>
  <si>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Capacity</t>
  </si>
  <si>
    <t>pmax</t>
  </si>
  <si>
    <t>pmin</t>
  </si>
  <si>
    <t>g7</t>
  </si>
  <si>
    <t>g8</t>
  </si>
  <si>
    <t>g9</t>
  </si>
  <si>
    <t>g10</t>
  </si>
  <si>
    <t>g11</t>
  </si>
  <si>
    <t>g12</t>
  </si>
  <si>
    <t>b1</t>
  </si>
  <si>
    <t>b2</t>
  </si>
  <si>
    <t>https://www.renewables.ninja/</t>
  </si>
  <si>
    <t>b3</t>
  </si>
  <si>
    <t>b4</t>
  </si>
  <si>
    <t>UT</t>
  </si>
  <si>
    <t>DT</t>
  </si>
  <si>
    <t>Pinit</t>
  </si>
  <si>
    <t>Uinit</t>
  </si>
  <si>
    <t>Tinit</t>
  </si>
  <si>
    <t>Cu</t>
  </si>
  <si>
    <t>C</t>
  </si>
  <si>
    <t>Cd</t>
  </si>
  <si>
    <t>Cplus</t>
  </si>
  <si>
    <t>Cminus</t>
  </si>
  <si>
    <t>C_SU</t>
  </si>
  <si>
    <t>Rplus</t>
  </si>
  <si>
    <t>Rup</t>
  </si>
  <si>
    <t>%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</si>
  <si>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</si>
  <si>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</si>
  <si>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</si>
  <si>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</si>
  <si>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</si>
  <si>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</si>
  <si>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</si>
  <si>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</si>
  <si>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</si>
  <si>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</si>
  <si>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</si>
  <si>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</si>
  <si>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</si>
  <si>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</si>
  <si>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</si>
  <si>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</si>
  <si>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</si>
  <si>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</si>
  <si>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</si>
  <si>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</si>
  <si>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reactance</t>
  </si>
  <si>
    <t>w1</t>
  </si>
  <si>
    <t>w2</t>
  </si>
  <si>
    <t>w3</t>
  </si>
  <si>
    <t>w4</t>
  </si>
  <si>
    <t>w5</t>
  </si>
  <si>
    <t>w6</t>
  </si>
  <si>
    <t>DK 5, SW1</t>
  </si>
  <si>
    <t>gen_id</t>
  </si>
  <si>
    <t>load_id</t>
  </si>
  <si>
    <t>time_id</t>
  </si>
  <si>
    <t>line_id</t>
  </si>
  <si>
    <t>bess_id</t>
  </si>
  <si>
    <t>wind_id</t>
  </si>
  <si>
    <t>bess1</t>
  </si>
  <si>
    <t>nch</t>
  </si>
  <si>
    <t>ndis</t>
  </si>
  <si>
    <t>E</t>
  </si>
  <si>
    <t>socmin</t>
  </si>
  <si>
    <t>socmax</t>
  </si>
  <si>
    <t>total_load</t>
  </si>
  <si>
    <t>hour</t>
  </si>
  <si>
    <t>capacity</t>
  </si>
  <si>
    <t>Time</t>
  </si>
  <si>
    <t>base_voltage</t>
  </si>
  <si>
    <t>reactance_pu</t>
  </si>
  <si>
    <t>bus_id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</si>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</sst>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5" x14ac:knownFonts="1">
    <font>
      <sz val="14"/>
      <color theme="1"/>
      <name val="Times New Roman"/>
      <family val="2"/>
    </font>
    <font>
      <sz val="14"/>
      <color rgb="FF006100"/>
      <name val="Times New Roman"/>
      <family val="2"/>
    </font>
    <font>
      <sz val="8"/>
      <name val="Times New Roman"/>
      <family val="2"/>
    </font>
    <font>
      <b/>
      <sz val="14"/>
      <color theme="1"/>
      <name val="Times New Roman"/>
      <family val="1"/>
    </font>
    <font>
      <sz val="14"/>
      <color rgb="FFFF0000"/>
      <name val="Times New Roman"/>
      <family val="2"/>
    </font>
    <font>
      <sz val="14"/>
      <color theme="1"/>
      <name val="Times New Roman"/>
      <family val="2"/>
    </font>
    <font>
      <sz val="18"/>
      <color theme="3"/>
      <name val="Times New Roman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4"/>
      <color rgb="FF9C0006"/>
      <name val="Times New Roman"/>
      <family val="2"/>
    </font>
    <font>
      <sz val="14"/>
      <color rgb="FF9C5700"/>
      <name val="Times New Roman"/>
      <family val="2"/>
    </font>
    <font>
      <sz val="14"/>
      <color rgb="FF3F3F76"/>
      <name val="Times New Roman"/>
      <family val="2"/>
    </font>
    <font>
      <b/>
      <sz val="14"/>
      <color rgb="FF3F3F3F"/>
      <name val="Times New Roman"/>
      <family val="2"/>
    </font>
    <font>
      <b/>
      <sz val="14"/>
      <color rgb="FFFA7D00"/>
      <name val="Times New Roman"/>
      <family val="2"/>
    </font>
    <font>
      <sz val="14"/>
      <color rgb="FFFA7D00"/>
      <name val="Times New Roman"/>
      <family val="2"/>
    </font>
    <font>
      <b/>
      <sz val="14"/>
      <color theme="0"/>
      <name val="Times New Roman"/>
      <family val="2"/>
    </font>
    <font>
      <i/>
      <sz val="14"/>
      <color rgb="FF7F7F7F"/>
      <name val="Times New Roman"/>
      <family val="2"/>
    </font>
    <font>
      <b/>
      <sz val="14"/>
      <color theme="1"/>
      <name val="Times New Roman"/>
      <family val="2"/>
    </font>
    <font>
      <sz val="14"/>
      <color theme="0"/>
      <name val="Times New Roman"/>
      <family val="2"/>
    </font>
    <font>
      <sz val="11"/>
      <color theme="1"/>
      <name val="Arial"/>
      <family val="2"/>
      <scheme val="minor"/>
    </font>
    <font>
      <sz val="14"/>
      <name val="Times New Roman"/>
      <family val="2"/>
    </font>
    <font>
      <b/>
      <sz val="14"/>
      <color rgb="FF1F1F1F"/>
      <name val="Arial"/>
      <family val="2"/>
      <charset val="163"/>
    </font>
    <font>
      <sz val="14"/>
      <color rgb="FF1F1F1F"/>
      <name val="Times New Roman"/>
      <family val="1"/>
      <charset val="163"/>
      <scheme val="major"/>
    </font>
    <font>
      <sz val="14"/>
      <color theme="1"/>
      <name val="Times New Roman"/>
      <family val="1"/>
      <charset val="16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5" applyNumberFormat="0" applyAlignment="0" applyProtection="0"/>
    <xf numFmtId="0" fontId="13" fillId="6" borderId="6" applyNumberFormat="0" applyAlignment="0" applyProtection="0"/>
    <xf numFmtId="0" fontId="14" fillId="6" borderId="5" applyNumberFormat="0" applyAlignment="0" applyProtection="0"/>
    <xf numFmtId="0" fontId="15" fillId="0" borderId="7" applyNumberFormat="0" applyFill="0" applyAlignment="0" applyProtection="0"/>
    <xf numFmtId="0" fontId="16" fillId="7" borderId="8" applyNumberFormat="0" applyAlignment="0" applyProtection="0"/>
    <xf numFmtId="0" fontId="4" fillId="0" borderId="0" applyNumberFormat="0" applyFill="0" applyBorder="0" applyAlignment="0" applyProtection="0"/>
    <xf numFmtId="0" fontId="5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9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9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9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9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9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2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/>
    <xf numFmtId="0" fontId="4" fillId="0" borderId="1" xfId="0" applyFont="1" applyBorder="1"/>
    <xf numFmtId="0" fontId="0" fillId="33" borderId="1" xfId="0" applyFill="1" applyBorder="1"/>
    <xf numFmtId="0" fontId="0" fillId="34" borderId="1" xfId="0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1" fillId="0" borderId="1" xfId="0" applyFont="1" applyBorder="1"/>
    <xf numFmtId="0" fontId="21" fillId="33" borderId="1" xfId="0" applyFont="1" applyFill="1" applyBorder="1"/>
    <xf numFmtId="0" fontId="21" fillId="0" borderId="0" xfId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2" fillId="0" borderId="0" xfId="0" applyFont="1" applyAlignment="1">
      <alignment vertical="center" wrapText="1" readingOrder="1"/>
    </xf>
    <xf numFmtId="0" fontId="23" fillId="0" borderId="0" xfId="0" applyFont="1" applyAlignment="1">
      <alignment horizontal="center" vertical="center" wrapText="1" readingOrder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0" fillId="35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1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28CC8C3-77B5-4A7B-A1D6-A97EE2AB45E3}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 Power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cal_wind!$B$1</c:f>
              <c:strCache>
                <c:ptCount val="1"/>
                <c:pt idx="0">
                  <c:v>w1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cal_wind!$A$2:$A$25</c:f>
              <c:strCache>
                <c:ptCount val="2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</c:strCache>
            </c:strRef>
          </c:cat>
          <c:val>
            <c:numRef>
              <c:f>cal_wind!$B$2:$B$25</c:f>
              <c:numCache>
                <c:formatCode>General</c:formatCode>
                <c:ptCount val="24"/>
                <c:pt idx="0">
                  <c:v>170.74180000000001</c:v>
                </c:pt>
                <c:pt idx="1">
                  <c:v>167.6602</c:v>
                </c:pt>
                <c:pt idx="2">
                  <c:v>162.05600000000001</c:v>
                </c:pt>
                <c:pt idx="3">
                  <c:v>154.22460000000001</c:v>
                </c:pt>
                <c:pt idx="4">
                  <c:v>149.0736</c:v>
                </c:pt>
                <c:pt idx="5">
                  <c:v>144.3468</c:v>
                </c:pt>
                <c:pt idx="6">
                  <c:v>138.12479999999999</c:v>
                </c:pt>
                <c:pt idx="7">
                  <c:v>133.14159999999998</c:v>
                </c:pt>
                <c:pt idx="8">
                  <c:v>132.887</c:v>
                </c:pt>
                <c:pt idx="9">
                  <c:v>131.13239999999999</c:v>
                </c:pt>
                <c:pt idx="10">
                  <c:v>134.67400000000001</c:v>
                </c:pt>
                <c:pt idx="11">
                  <c:v>130.71980000000002</c:v>
                </c:pt>
                <c:pt idx="12">
                  <c:v>103.40199999999999</c:v>
                </c:pt>
                <c:pt idx="13">
                  <c:v>81.033999999999992</c:v>
                </c:pt>
                <c:pt idx="14">
                  <c:v>53.302400000000006</c:v>
                </c:pt>
                <c:pt idx="15">
                  <c:v>34.809600000000003</c:v>
                </c:pt>
                <c:pt idx="16">
                  <c:v>30.381000000000004</c:v>
                </c:pt>
                <c:pt idx="17">
                  <c:v>38.814999999999998</c:v>
                </c:pt>
                <c:pt idx="18">
                  <c:v>48.037199999999999</c:v>
                </c:pt>
                <c:pt idx="19">
                  <c:v>55.111600000000003</c:v>
                </c:pt>
                <c:pt idx="20">
                  <c:v>64.229600000000005</c:v>
                </c:pt>
                <c:pt idx="21">
                  <c:v>80.589999999999989</c:v>
                </c:pt>
                <c:pt idx="22">
                  <c:v>99.496600000000001</c:v>
                </c:pt>
                <c:pt idx="23">
                  <c:v>119.70359999999999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73-4F35-AF0B-8A5CF6A3BF4C}"/>
            </c:ext>
          </c:extLst>
        </c:ser>
        <c:ser>
          <c:idx val="1"/>
          <c:order val="1"/>
          <c:tx>
            <c:strRef>
              <c:f>cal_wind!$C$1</c:f>
              <c:strCache>
                <c:ptCount val="1"/>
                <c:pt idx="0">
                  <c:v>w2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cal_wind!$A$2:$A$25</c:f>
              <c:strCache>
                <c:ptCount val="2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</c:strCache>
            </c:strRef>
          </c:cat>
          <c:val>
            <c:numRef>
              <c:f>cal_wind!$C$2:$C$25</c:f>
              <c:numCache>
                <c:formatCode>General</c:formatCode>
                <c:ptCount val="24"/>
                <c:pt idx="0">
                  <c:v>184.27760000000001</c:v>
                </c:pt>
                <c:pt idx="1">
                  <c:v>182.59559999999999</c:v>
                </c:pt>
                <c:pt idx="2">
                  <c:v>180.2328</c:v>
                </c:pt>
                <c:pt idx="3">
                  <c:v>176.5164</c:v>
                </c:pt>
                <c:pt idx="4">
                  <c:v>171.68460000000002</c:v>
                </c:pt>
                <c:pt idx="5">
                  <c:v>163.97800000000001</c:v>
                </c:pt>
                <c:pt idx="6">
                  <c:v>158.01639999999998</c:v>
                </c:pt>
                <c:pt idx="7">
                  <c:v>155.72839999999999</c:v>
                </c:pt>
                <c:pt idx="8">
                  <c:v>153.1096</c:v>
                </c:pt>
                <c:pt idx="9">
                  <c:v>147.3674</c:v>
                </c:pt>
                <c:pt idx="10">
                  <c:v>142.14180000000002</c:v>
                </c:pt>
                <c:pt idx="11">
                  <c:v>141.14699999999999</c:v>
                </c:pt>
                <c:pt idx="12">
                  <c:v>140.29499999999999</c:v>
                </c:pt>
                <c:pt idx="13">
                  <c:v>143.10739999999998</c:v>
                </c:pt>
                <c:pt idx="14">
                  <c:v>144.85760000000002</c:v>
                </c:pt>
                <c:pt idx="15">
                  <c:v>134.52080000000001</c:v>
                </c:pt>
                <c:pt idx="16">
                  <c:v>117.94500000000001</c:v>
                </c:pt>
                <c:pt idx="17">
                  <c:v>108.60939999999999</c:v>
                </c:pt>
                <c:pt idx="18">
                  <c:v>110.04719999999999</c:v>
                </c:pt>
                <c:pt idx="19">
                  <c:v>113.29340000000001</c:v>
                </c:pt>
                <c:pt idx="20">
                  <c:v>121.29939999999999</c:v>
                </c:pt>
                <c:pt idx="21">
                  <c:v>134.46860000000001</c:v>
                </c:pt>
                <c:pt idx="22">
                  <c:v>151.8408</c:v>
                </c:pt>
                <c:pt idx="23">
                  <c:v>162.72480000000002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73-4F35-AF0B-8A5CF6A3BF4C}"/>
            </c:ext>
          </c:extLst>
        </c:ser>
        <c:ser>
          <c:idx val="2"/>
          <c:order val="2"/>
          <c:tx>
            <c:strRef>
              <c:f>cal_wind!$D$1</c:f>
              <c:strCache>
                <c:ptCount val="1"/>
                <c:pt idx="0">
                  <c:v>w3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cal_wind!$A$2:$A$25</c:f>
              <c:strCache>
                <c:ptCount val="2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</c:strCache>
            </c:strRef>
          </c:cat>
          <c:val>
            <c:numRef>
              <c:f>cal_wind!$D$2:$D$25</c:f>
              <c:numCache>
                <c:formatCode>General</c:formatCode>
                <c:ptCount val="24"/>
                <c:pt idx="0">
                  <c:v>186.22200000000001</c:v>
                </c:pt>
                <c:pt idx="1">
                  <c:v>186.60000000000002</c:v>
                </c:pt>
                <c:pt idx="2">
                  <c:v>185.74779999999998</c:v>
                </c:pt>
                <c:pt idx="3">
                  <c:v>184.84179999999998</c:v>
                </c:pt>
                <c:pt idx="4">
                  <c:v>183.215</c:v>
                </c:pt>
                <c:pt idx="5">
                  <c:v>180.61179999999999</c:v>
                </c:pt>
                <c:pt idx="6">
                  <c:v>176.98560000000001</c:v>
                </c:pt>
                <c:pt idx="7">
                  <c:v>171.965</c:v>
                </c:pt>
                <c:pt idx="8">
                  <c:v>167.33080000000001</c:v>
                </c:pt>
                <c:pt idx="9">
                  <c:v>161.39400000000001</c:v>
                </c:pt>
                <c:pt idx="10">
                  <c:v>154.0412</c:v>
                </c:pt>
                <c:pt idx="11">
                  <c:v>149.4134</c:v>
                </c:pt>
                <c:pt idx="12">
                  <c:v>145.4288</c:v>
                </c:pt>
                <c:pt idx="13">
                  <c:v>142.71940000000001</c:v>
                </c:pt>
                <c:pt idx="14">
                  <c:v>141.52800000000002</c:v>
                </c:pt>
                <c:pt idx="15">
                  <c:v>141.76</c:v>
                </c:pt>
                <c:pt idx="16">
                  <c:v>129.4564</c:v>
                </c:pt>
                <c:pt idx="17">
                  <c:v>97.997799999999998</c:v>
                </c:pt>
                <c:pt idx="18">
                  <c:v>57.293799999999997</c:v>
                </c:pt>
                <c:pt idx="19">
                  <c:v>30.484999999999999</c:v>
                </c:pt>
                <c:pt idx="20">
                  <c:v>39.434999999999995</c:v>
                </c:pt>
                <c:pt idx="21">
                  <c:v>20.325199999999999</c:v>
                </c:pt>
                <c:pt idx="22">
                  <c:v>33.175800000000002</c:v>
                </c:pt>
                <c:pt idx="23">
                  <c:v>58.348399999999998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73-4F35-AF0B-8A5CF6A3BF4C}"/>
            </c:ext>
          </c:extLst>
        </c:ser>
        <c:ser>
          <c:idx val="3"/>
          <c:order val="3"/>
          <c:tx>
            <c:strRef>
              <c:f>cal_wind!$E$1</c:f>
              <c:strCache>
                <c:ptCount val="1"/>
                <c:pt idx="0">
                  <c:v>w4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cal_wind!$A$2:$A$25</c:f>
              <c:strCache>
                <c:ptCount val="2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</c:strCache>
            </c:strRef>
          </c:cat>
          <c:val>
            <c:numRef>
              <c:f>cal_wind!$E$2:$E$25</c:f>
              <c:numCache>
                <c:formatCode>General</c:formatCode>
                <c:ptCount val="24"/>
                <c:pt idx="0">
                  <c:v>178.45679999999999</c:v>
                </c:pt>
                <c:pt idx="1">
                  <c:v>180.07919999999999</c:v>
                </c:pt>
                <c:pt idx="2">
                  <c:v>179.58019999999999</c:v>
                </c:pt>
                <c:pt idx="3">
                  <c:v>179.98740000000001</c:v>
                </c:pt>
                <c:pt idx="4">
                  <c:v>180.2192</c:v>
                </c:pt>
                <c:pt idx="5">
                  <c:v>179.78639999999999</c:v>
                </c:pt>
                <c:pt idx="6">
                  <c:v>177.82899999999998</c:v>
                </c:pt>
                <c:pt idx="7">
                  <c:v>173.35739999999998</c:v>
                </c:pt>
                <c:pt idx="8">
                  <c:v>167.69559999999998</c:v>
                </c:pt>
                <c:pt idx="9">
                  <c:v>155.69980000000001</c:v>
                </c:pt>
                <c:pt idx="10">
                  <c:v>143.208</c:v>
                </c:pt>
                <c:pt idx="11">
                  <c:v>124.0094</c:v>
                </c:pt>
                <c:pt idx="12">
                  <c:v>94.140999999999991</c:v>
                </c:pt>
                <c:pt idx="13">
                  <c:v>73.851199999999992</c:v>
                </c:pt>
                <c:pt idx="14">
                  <c:v>52.739599999999996</c:v>
                </c:pt>
                <c:pt idx="15">
                  <c:v>34.180199999999999</c:v>
                </c:pt>
                <c:pt idx="16">
                  <c:v>38.470399999999998</c:v>
                </c:pt>
                <c:pt idx="17">
                  <c:v>30.001200000000001</c:v>
                </c:pt>
                <c:pt idx="18">
                  <c:v>48.777200000000001</c:v>
                </c:pt>
                <c:pt idx="19">
                  <c:v>31.568800000000003</c:v>
                </c:pt>
                <c:pt idx="20">
                  <c:v>33.196999999999996</c:v>
                </c:pt>
                <c:pt idx="21">
                  <c:v>33.646999999999998</c:v>
                </c:pt>
                <c:pt idx="22">
                  <c:v>35.683799999999998</c:v>
                </c:pt>
                <c:pt idx="23">
                  <c:v>24.581199999999999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73-4F35-AF0B-8A5CF6A3BF4C}"/>
            </c:ext>
          </c:extLst>
        </c:ser>
        <c:ser>
          <c:idx val="4"/>
          <c:order val="4"/>
          <c:tx>
            <c:strRef>
              <c:f>cal_wind!$F$1</c:f>
              <c:strCache>
                <c:ptCount val="1"/>
                <c:pt idx="0">
                  <c:v>w5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cal_wind!$A$2:$A$25</c:f>
              <c:strCache>
                <c:ptCount val="2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</c:strCache>
            </c:strRef>
          </c:cat>
          <c:val>
            <c:numRef>
              <c:f>cal_wind!$F$2:$F$25</c:f>
              <c:numCache>
                <c:formatCode>General</c:formatCode>
                <c:ptCount val="24"/>
                <c:pt idx="0">
                  <c:v>168.24420000000001</c:v>
                </c:pt>
                <c:pt idx="1">
                  <c:v>170.83320000000001</c:v>
                </c:pt>
                <c:pt idx="2">
                  <c:v>171.0916</c:v>
                </c:pt>
                <c:pt idx="3">
                  <c:v>172.7354</c:v>
                </c:pt>
                <c:pt idx="4">
                  <c:v>174.06100000000001</c:v>
                </c:pt>
                <c:pt idx="5">
                  <c:v>174.49460000000002</c:v>
                </c:pt>
                <c:pt idx="6">
                  <c:v>172.30279999999999</c:v>
                </c:pt>
                <c:pt idx="7">
                  <c:v>163.45860000000002</c:v>
                </c:pt>
                <c:pt idx="8">
                  <c:v>143.76839999999999</c:v>
                </c:pt>
                <c:pt idx="9">
                  <c:v>116.4876</c:v>
                </c:pt>
                <c:pt idx="10">
                  <c:v>88.690399999999997</c:v>
                </c:pt>
                <c:pt idx="11">
                  <c:v>60.303200000000004</c:v>
                </c:pt>
                <c:pt idx="12">
                  <c:v>32.936</c:v>
                </c:pt>
                <c:pt idx="13">
                  <c:v>39.692599999999999</c:v>
                </c:pt>
                <c:pt idx="14">
                  <c:v>33.692999999999998</c:v>
                </c:pt>
                <c:pt idx="15">
                  <c:v>46.7776</c:v>
                </c:pt>
                <c:pt idx="16">
                  <c:v>41.793400000000005</c:v>
                </c:pt>
                <c:pt idx="17">
                  <c:v>40.942399999999999</c:v>
                </c:pt>
                <c:pt idx="18">
                  <c:v>44.588000000000001</c:v>
                </c:pt>
                <c:pt idx="19">
                  <c:v>34.282600000000002</c:v>
                </c:pt>
                <c:pt idx="20">
                  <c:v>24.8978</c:v>
                </c:pt>
                <c:pt idx="21">
                  <c:v>28.357800000000001</c:v>
                </c:pt>
                <c:pt idx="22">
                  <c:v>26.63</c:v>
                </c:pt>
                <c:pt idx="23">
                  <c:v>26.246399999999998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C73-4F35-AF0B-8A5CF6A3BF4C}"/>
            </c:ext>
          </c:extLst>
        </c:ser>
        <c:ser>
          <c:idx val="5"/>
          <c:order val="5"/>
          <c:tx>
            <c:strRef>
              <c:f>cal_wind!$G$1</c:f>
              <c:strCache>
                <c:ptCount val="1"/>
                <c:pt idx="0">
                  <c:v>w6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cal_wind!$A$2:$A$25</c:f>
              <c:strCache>
                <c:ptCount val="2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</c:strCache>
            </c:strRef>
          </c:cat>
          <c:val>
            <c:numRef>
              <c:f>cal_wind!$G$2:$G$25</c:f>
              <c:numCache>
                <c:formatCode>General</c:formatCode>
                <c:ptCount val="24"/>
                <c:pt idx="0">
                  <c:v>179.6832</c:v>
                </c:pt>
                <c:pt idx="1">
                  <c:v>180.31539999999998</c:v>
                </c:pt>
                <c:pt idx="2">
                  <c:v>179.3372</c:v>
                </c:pt>
                <c:pt idx="3">
                  <c:v>178.529</c:v>
                </c:pt>
                <c:pt idx="4">
                  <c:v>177.21620000000001</c:v>
                </c:pt>
                <c:pt idx="5">
                  <c:v>174.61580000000001</c:v>
                </c:pt>
                <c:pt idx="6">
                  <c:v>171.18459999999999</c:v>
                </c:pt>
                <c:pt idx="7">
                  <c:v>166.279</c:v>
                </c:pt>
                <c:pt idx="8">
                  <c:v>159.08459999999999</c:v>
                </c:pt>
                <c:pt idx="9">
                  <c:v>147.38919999999999</c:v>
                </c:pt>
                <c:pt idx="10">
                  <c:v>135.31640000000002</c:v>
                </c:pt>
                <c:pt idx="11">
                  <c:v>122.53179999999999</c:v>
                </c:pt>
                <c:pt idx="12">
                  <c:v>106.31580000000001</c:v>
                </c:pt>
                <c:pt idx="13">
                  <c:v>97.026199999999989</c:v>
                </c:pt>
                <c:pt idx="14">
                  <c:v>88.837000000000003</c:v>
                </c:pt>
                <c:pt idx="15">
                  <c:v>78.932400000000001</c:v>
                </c:pt>
                <c:pt idx="16">
                  <c:v>66.032800000000009</c:v>
                </c:pt>
                <c:pt idx="17">
                  <c:v>53.514399999999995</c:v>
                </c:pt>
                <c:pt idx="18">
                  <c:v>44.4634</c:v>
                </c:pt>
                <c:pt idx="19">
                  <c:v>41.56</c:v>
                </c:pt>
                <c:pt idx="20">
                  <c:v>43.435200000000002</c:v>
                </c:pt>
                <c:pt idx="21">
                  <c:v>47.853400000000001</c:v>
                </c:pt>
                <c:pt idx="22">
                  <c:v>55.749600000000001</c:v>
                </c:pt>
                <c:pt idx="23">
                  <c:v>67.539199999999994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C73-4F35-AF0B-8A5CF6A3B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009248"/>
        <c:axId val="348006368"/>
      </c:lineChart>
      <c:catAx>
        <c:axId val="34800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48006368"/>
        <c:crosses val="autoZero"/>
        <c:auto val="1"/>
        <c:lblAlgn val="ctr"/>
        <c:lblOffset val="100"/>
        <c:noMultiLvlLbl val="0"/>
      </c:catAx>
      <c:valAx>
        <c:axId val="34800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4800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wind_power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cal_wind!$A$2:$A$25</c:f>
              <c:strCache>
                <c:ptCount val="2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</c:strCache>
            </c:strRef>
          </c:cat>
          <c:val>
            <c:numRef>
              <c:f>cal_wind!$H$2:$H$25</c:f>
              <c:numCache>
                <c:formatCode>General</c:formatCode>
                <c:ptCount val="24"/>
                <c:pt idx="0">
                  <c:v>1067.6256000000001</c:v>
                </c:pt>
                <c:pt idx="1">
                  <c:v>1068.0836000000002</c:v>
                </c:pt>
                <c:pt idx="2">
                  <c:v>1058.0455999999999</c:v>
                </c:pt>
                <c:pt idx="3">
                  <c:v>1046.8345999999999</c:v>
                </c:pt>
                <c:pt idx="4">
                  <c:v>1035.4696000000001</c:v>
                </c:pt>
                <c:pt idx="5">
                  <c:v>1017.8334</c:v>
                </c:pt>
                <c:pt idx="6">
                  <c:v>994.44319999999993</c:v>
                </c:pt>
                <c:pt idx="7">
                  <c:v>963.93000000000006</c:v>
                </c:pt>
                <c:pt idx="8">
                  <c:v>923.87600000000009</c:v>
                </c:pt>
                <c:pt idx="9">
                  <c:v>859.47040000000004</c:v>
                </c:pt>
                <c:pt idx="10">
                  <c:v>798.07180000000005</c:v>
                </c:pt>
                <c:pt idx="11">
                  <c:v>728.1246000000001</c:v>
                </c:pt>
                <c:pt idx="12">
                  <c:v>622.51859999999999</c:v>
                </c:pt>
                <c:pt idx="13">
                  <c:v>577.43079999999998</c:v>
                </c:pt>
                <c:pt idx="14">
                  <c:v>514.95760000000007</c:v>
                </c:pt>
                <c:pt idx="15">
                  <c:v>470.98059999999998</c:v>
                </c:pt>
                <c:pt idx="16">
                  <c:v>424.07900000000006</c:v>
                </c:pt>
                <c:pt idx="17">
                  <c:v>369.88019999999995</c:v>
                </c:pt>
                <c:pt idx="18">
                  <c:v>353.20679999999999</c:v>
                </c:pt>
                <c:pt idx="19">
                  <c:v>306.3014</c:v>
                </c:pt>
                <c:pt idx="20">
                  <c:v>326.49400000000003</c:v>
                </c:pt>
                <c:pt idx="21">
                  <c:v>345.24200000000002</c:v>
                </c:pt>
                <c:pt idx="22">
                  <c:v>402.57659999999998</c:v>
                </c:pt>
                <c:pt idx="23">
                  <c:v>459.14359999999999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C-4600-8308-6CC5CAB649CC}"/>
            </c:ext>
          </c:extLst>
        </c:ser>
        <c:ser>
          <c:idx val="1"/>
          <c:order val="1"/>
          <c:tx>
            <c:v>Load data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cal_wind!$A$2:$A$25</c:f>
              <c:strCache>
                <c:ptCount val="2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</c:strCache>
            </c:strRef>
          </c:cat>
          <c:val>
            <c:numRef>
              <c:f>cal_wind!$B$57:$B$80</c:f>
              <c:numCache>
                <c:formatCode>General</c:formatCode>
                <c:ptCount val="24"/>
                <c:pt idx="0">
                  <c:v>1775.8349999999996</c:v>
                </c:pt>
                <c:pt idx="1">
                  <c:v>1669.8150000000001</c:v>
                </c:pt>
                <c:pt idx="2">
                  <c:v>1590.2999999999997</c:v>
                </c:pt>
                <c:pt idx="3">
                  <c:v>1563.7949999999998</c:v>
                </c:pt>
                <c:pt idx="4">
                  <c:v>1563.7949999999998</c:v>
                </c:pt>
                <c:pt idx="5">
                  <c:v>1590.2999999999997</c:v>
                </c:pt>
                <c:pt idx="6">
                  <c:v>1961.37</c:v>
                </c:pt>
                <c:pt idx="7">
                  <c:v>2279.4299999999998</c:v>
                </c:pt>
                <c:pt idx="8">
                  <c:v>2417.9749999999999</c:v>
                </c:pt>
                <c:pt idx="9">
                  <c:v>2544.48</c:v>
                </c:pt>
                <c:pt idx="10">
                  <c:v>2544.48</c:v>
                </c:pt>
                <c:pt idx="11">
                  <c:v>2517.9749999999999</c:v>
                </c:pt>
                <c:pt idx="12">
                  <c:v>2517.9749999999999</c:v>
                </c:pt>
                <c:pt idx="13">
                  <c:v>2517.9749999999999</c:v>
                </c:pt>
                <c:pt idx="14">
                  <c:v>2464.9649999999997</c:v>
                </c:pt>
                <c:pt idx="15">
                  <c:v>2464.9649999999997</c:v>
                </c:pt>
                <c:pt idx="16">
                  <c:v>2623.9949999999994</c:v>
                </c:pt>
                <c:pt idx="17">
                  <c:v>2650.4999999999995</c:v>
                </c:pt>
                <c:pt idx="18">
                  <c:v>2650.4999999999995</c:v>
                </c:pt>
                <c:pt idx="19">
                  <c:v>2544.48</c:v>
                </c:pt>
                <c:pt idx="20">
                  <c:v>2411.9549999999999</c:v>
                </c:pt>
                <c:pt idx="21">
                  <c:v>2199.9149999999995</c:v>
                </c:pt>
                <c:pt idx="22">
                  <c:v>1934.8649999999998</c:v>
                </c:pt>
                <c:pt idx="23">
                  <c:v>1669.8150000000001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9C-4600-8308-6CC5CAB64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823215"/>
        <c:axId val="1236824175"/>
      </c:lineChart>
      <c:catAx>
        <c:axId val="123682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36824175"/>
        <c:crosses val="autoZero"/>
        <c:auto val="1"/>
        <c:lblAlgn val="ctr"/>
        <c:lblOffset val="100"/>
        <c:noMultiLvlLbl val="0"/>
      </c:catAx>
      <c:valAx>
        <c:axId val="123682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23682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271740</xdr:colOff>
      <xdr:row>1</xdr:row>
      <xdr:rowOff>170888</xdr:rowOff>
    </xdr:from>
    <xdr:to>
      <xdr:col>19</xdr:col>
      <xdr:colOff>396686</xdr:colOff>
      <xdr:row>19</xdr:row>
      <xdr:rowOff>209830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8988B-ACDD-844F-293D-9CEB67123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453839</xdr:colOff>
      <xdr:row>21</xdr:row>
      <xdr:rowOff>99170</xdr:rowOff>
    </xdr:from>
    <xdr:to>
      <xdr:col>19</xdr:col>
      <xdr:colOff>95249</xdr:colOff>
      <xdr:row>41</xdr:row>
      <xdr:rowOff>33616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5BD08F-E29C-8818-9468-1CBA17B27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0CDF-1F36-4AD4-A776-4253B12C6BC8}">
  <dimension ref="A1:Y13"/>
  <sheetViews>
    <sheetView zoomScale="85" zoomScaleNormal="85" workbookViewId="0"/>
  </sheetViews>
  <sheetFormatPr defaultRowHeight="17.649999999999999" x14ac:dyDescent="0.5"/>
  <cols>
    <col min="16" max="16" width="9.15625" customWidth="1"/>
  </cols>
  <sheetData>
    <row r="1" spans="1:25" x14ac:dyDescent="0.5">
      <c r="A1" s="3" t="s">
        <v>120</v>
      </c>
      <c r="B1" s="3" t="s">
        <v>73</v>
      </c>
      <c r="C1" s="10" t="s">
        <v>74</v>
      </c>
      <c r="D1" s="3" t="s">
        <v>76</v>
      </c>
      <c r="E1" s="3" t="s">
        <v>77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  <c r="K1" s="3" t="s">
        <v>97</v>
      </c>
      <c r="L1" s="3" t="s">
        <v>98</v>
      </c>
      <c r="M1" s="3" t="s">
        <v>99</v>
      </c>
      <c r="N1" s="3" t="s">
        <v>100</v>
      </c>
      <c r="O1" s="3" t="s">
        <v>101</v>
      </c>
      <c r="P1" s="9" t="s">
        <v>102</v>
      </c>
      <c r="Q1" s="9" t="s">
        <v>103</v>
      </c>
      <c r="R1" s="3" t="s">
        <v>104</v>
      </c>
      <c r="S1" s="3" t="s">
        <v>105</v>
      </c>
      <c r="T1" s="3" t="s">
        <v>106</v>
      </c>
      <c r="U1" s="3" t="s">
        <v>107</v>
      </c>
      <c r="V1" s="5" t="s">
        <v>108</v>
      </c>
      <c r="W1" s="6" t="s">
        <v>109</v>
      </c>
      <c r="X1" s="4" t="s">
        <v>110</v>
      </c>
      <c r="Y1" s="3" t="s">
        <v>111</v>
      </c>
    </row>
    <row r="2" spans="1:25" x14ac:dyDescent="0.5">
      <c r="A2" s="3" t="s">
        <v>0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5">
      <c r="A3" s="3" t="s">
        <v>1</v>
      </c>
      <c r="B3" s="3"/>
      <c r="C3" s="3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5">
      <c r="A4" s="3" t="s">
        <v>2</v>
      </c>
      <c r="B4" s="3"/>
      <c r="C4" s="3"/>
      <c r="D4" s="3"/>
      <c r="E4" s="3"/>
      <c r="F4" s="3"/>
      <c r="G4" s="3"/>
      <c r="H4" s="3">
        <v>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>
        <v>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5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9">
        <v>1</v>
      </c>
      <c r="Q6" s="3"/>
      <c r="R6" s="3"/>
      <c r="S6" s="3"/>
      <c r="T6" s="3"/>
      <c r="U6" s="3"/>
      <c r="V6" s="3"/>
      <c r="W6" s="3"/>
      <c r="X6" s="3"/>
      <c r="Y6" s="3"/>
    </row>
    <row r="7" spans="1:25" x14ac:dyDescent="0.5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1</v>
      </c>
      <c r="Q7" s="3"/>
      <c r="R7" s="3"/>
      <c r="S7" s="3"/>
      <c r="T7" s="3"/>
      <c r="U7" s="3"/>
      <c r="V7" s="3"/>
      <c r="W7" s="3"/>
      <c r="X7" s="3"/>
      <c r="Y7" s="3"/>
    </row>
    <row r="8" spans="1:25" x14ac:dyDescent="0.5">
      <c r="A8" s="3" t="s">
        <v>67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1</v>
      </c>
      <c r="R8" s="3"/>
      <c r="S8" s="3"/>
      <c r="T8" s="3"/>
      <c r="U8" s="3"/>
      <c r="V8" s="3"/>
      <c r="W8" s="3"/>
      <c r="X8" s="3"/>
      <c r="Y8" s="3"/>
    </row>
    <row r="9" spans="1:25" x14ac:dyDescent="0.5">
      <c r="A9" s="3" t="s">
        <v>68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>
        <v>1</v>
      </c>
      <c r="T9" s="3"/>
      <c r="U9" s="3"/>
      <c r="V9" s="3"/>
      <c r="W9" s="3"/>
      <c r="X9" s="3"/>
      <c r="Y9" s="3"/>
    </row>
    <row r="10" spans="1:25" x14ac:dyDescent="0.5">
      <c r="A10" s="3" t="s">
        <v>69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</row>
    <row r="11" spans="1:25" x14ac:dyDescent="0.5">
      <c r="A11" s="3" t="s">
        <v>70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>
        <v>1</v>
      </c>
      <c r="X11" s="3"/>
      <c r="Y11" s="3"/>
    </row>
    <row r="12" spans="1:25" x14ac:dyDescent="0.5">
      <c r="A12" s="3" t="s">
        <v>71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1</v>
      </c>
      <c r="Y12" s="3"/>
    </row>
    <row r="13" spans="1:25" x14ac:dyDescent="0.5">
      <c r="A13" s="3" t="s">
        <v>72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>
        <v>1</v>
      </c>
      <c r="Y13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E430-2A63-47F6-A361-72EC08B089B5}">
  <dimension ref="A1:P27"/>
  <sheetViews>
    <sheetView zoomScale="85" zoomScaleNormal="85" workbookViewId="0">
      <selection activeCell="H3" sqref="H3"/>
    </sheetView>
  </sheetViews>
  <sheetFormatPr defaultRowHeight="17.649999999999999" x14ac:dyDescent="0.5"/>
  <sheetData>
    <row r="1" spans="1:16" x14ac:dyDescent="0.5">
      <c r="A1" s="2" t="s">
        <v>120</v>
      </c>
      <c r="B1" s="2" t="s">
        <v>65</v>
      </c>
      <c r="C1" s="2" t="s">
        <v>66</v>
      </c>
      <c r="D1" s="2" t="s">
        <v>89</v>
      </c>
      <c r="E1" s="2" t="s">
        <v>90</v>
      </c>
      <c r="F1" s="2" t="s">
        <v>78</v>
      </c>
      <c r="G1" s="2" t="s">
        <v>79</v>
      </c>
      <c r="H1" s="2" t="s">
        <v>84</v>
      </c>
      <c r="I1" s="2" t="s">
        <v>83</v>
      </c>
      <c r="J1" s="2" t="s">
        <v>85</v>
      </c>
      <c r="K1" s="2" t="s">
        <v>86</v>
      </c>
      <c r="L1" s="2" t="s">
        <v>87</v>
      </c>
      <c r="M1" s="2" t="s">
        <v>88</v>
      </c>
      <c r="N1" s="2" t="s">
        <v>80</v>
      </c>
      <c r="O1" s="2" t="s">
        <v>81</v>
      </c>
      <c r="P1" s="2" t="s">
        <v>82</v>
      </c>
    </row>
    <row r="2" spans="1:16" x14ac:dyDescent="0.5">
      <c r="A2" s="2" t="s">
        <v>0</v>
      </c>
      <c r="B2" s="2">
        <v>152</v>
      </c>
      <c r="C2" s="2">
        <v>0</v>
      </c>
      <c r="D2" s="2">
        <v>40</v>
      </c>
      <c r="E2" s="2">
        <v>120</v>
      </c>
      <c r="F2" s="2">
        <v>8</v>
      </c>
      <c r="G2" s="2">
        <v>4</v>
      </c>
      <c r="H2" s="2">
        <v>13.32</v>
      </c>
      <c r="I2" s="2">
        <v>15</v>
      </c>
      <c r="J2" s="2">
        <v>14</v>
      </c>
      <c r="K2" s="2">
        <v>15</v>
      </c>
      <c r="L2" s="2">
        <v>11</v>
      </c>
      <c r="M2" s="2">
        <v>1430.4</v>
      </c>
      <c r="N2" s="2">
        <v>76</v>
      </c>
      <c r="O2" s="2">
        <v>1</v>
      </c>
      <c r="P2" s="2">
        <v>22</v>
      </c>
    </row>
    <row r="3" spans="1:16" x14ac:dyDescent="0.5">
      <c r="A3" s="2" t="s">
        <v>1</v>
      </c>
      <c r="B3" s="2">
        <v>152</v>
      </c>
      <c r="C3" s="2">
        <v>0</v>
      </c>
      <c r="D3" s="2">
        <v>40</v>
      </c>
      <c r="E3" s="2">
        <v>120</v>
      </c>
      <c r="F3" s="2">
        <v>8</v>
      </c>
      <c r="G3" s="2">
        <v>4</v>
      </c>
      <c r="H3" s="2">
        <v>13.32</v>
      </c>
      <c r="I3" s="2">
        <v>15</v>
      </c>
      <c r="J3" s="2">
        <v>14</v>
      </c>
      <c r="K3" s="2">
        <v>15</v>
      </c>
      <c r="L3" s="2">
        <v>11</v>
      </c>
      <c r="M3" s="2">
        <v>1430.4</v>
      </c>
      <c r="N3" s="2">
        <v>76</v>
      </c>
      <c r="O3" s="2">
        <v>1</v>
      </c>
      <c r="P3" s="2">
        <v>22</v>
      </c>
    </row>
    <row r="4" spans="1:16" x14ac:dyDescent="0.5">
      <c r="A4" s="2" t="s">
        <v>2</v>
      </c>
      <c r="B4" s="2">
        <v>350</v>
      </c>
      <c r="C4" s="2">
        <v>0</v>
      </c>
      <c r="D4" s="2">
        <v>70</v>
      </c>
      <c r="E4" s="2">
        <v>350</v>
      </c>
      <c r="F4" s="2">
        <v>8</v>
      </c>
      <c r="G4" s="2">
        <v>8</v>
      </c>
      <c r="H4" s="2">
        <v>20.7</v>
      </c>
      <c r="I4" s="2">
        <v>10</v>
      </c>
      <c r="J4" s="2">
        <v>9</v>
      </c>
      <c r="K4" s="2">
        <v>24</v>
      </c>
      <c r="L4" s="2">
        <v>16</v>
      </c>
      <c r="M4" s="2">
        <v>1725</v>
      </c>
      <c r="N4" s="2">
        <v>0</v>
      </c>
      <c r="O4" s="2">
        <v>1</v>
      </c>
      <c r="P4" s="2">
        <v>-2</v>
      </c>
    </row>
    <row r="5" spans="1:16" x14ac:dyDescent="0.5">
      <c r="A5" s="2" t="s">
        <v>3</v>
      </c>
      <c r="B5" s="2">
        <v>591</v>
      </c>
      <c r="C5" s="2">
        <v>0</v>
      </c>
      <c r="D5" s="2">
        <v>180</v>
      </c>
      <c r="E5" s="2">
        <v>240</v>
      </c>
      <c r="F5" s="2">
        <v>12</v>
      </c>
      <c r="G5" s="2">
        <v>10</v>
      </c>
      <c r="H5" s="2">
        <v>20.93</v>
      </c>
      <c r="I5" s="2">
        <v>8</v>
      </c>
      <c r="J5" s="2">
        <v>7</v>
      </c>
      <c r="K5" s="2">
        <v>25</v>
      </c>
      <c r="L5" s="2">
        <v>17</v>
      </c>
      <c r="M5" s="2">
        <v>3056.7</v>
      </c>
      <c r="N5" s="2">
        <v>0</v>
      </c>
      <c r="O5" s="2">
        <v>1</v>
      </c>
      <c r="P5" s="2">
        <v>-1</v>
      </c>
    </row>
    <row r="6" spans="1:16" x14ac:dyDescent="0.5">
      <c r="A6" s="2" t="s">
        <v>4</v>
      </c>
      <c r="B6" s="2">
        <v>60</v>
      </c>
      <c r="C6" s="2">
        <v>0</v>
      </c>
      <c r="D6" s="2">
        <v>60</v>
      </c>
      <c r="E6" s="2">
        <v>60</v>
      </c>
      <c r="F6" s="2">
        <v>4</v>
      </c>
      <c r="G6" s="2">
        <v>2</v>
      </c>
      <c r="H6" s="2">
        <v>26.11</v>
      </c>
      <c r="I6" s="2">
        <v>7</v>
      </c>
      <c r="J6" s="2">
        <v>5</v>
      </c>
      <c r="K6" s="2">
        <v>28</v>
      </c>
      <c r="L6" s="2">
        <v>23</v>
      </c>
      <c r="M6" s="2">
        <v>437</v>
      </c>
      <c r="N6" s="2">
        <v>0</v>
      </c>
      <c r="O6" s="2">
        <v>1</v>
      </c>
      <c r="P6" s="2">
        <v>-1</v>
      </c>
    </row>
    <row r="7" spans="1:16" x14ac:dyDescent="0.5">
      <c r="A7" s="2" t="s">
        <v>5</v>
      </c>
      <c r="B7" s="2">
        <v>155</v>
      </c>
      <c r="C7" s="2">
        <v>0</v>
      </c>
      <c r="D7" s="2">
        <v>30</v>
      </c>
      <c r="E7" s="2">
        <v>155</v>
      </c>
      <c r="F7" s="2">
        <v>8</v>
      </c>
      <c r="G7" s="2">
        <v>8</v>
      </c>
      <c r="H7" s="2">
        <v>10.52</v>
      </c>
      <c r="I7" s="2">
        <v>16</v>
      </c>
      <c r="J7" s="2">
        <v>14</v>
      </c>
      <c r="K7" s="2">
        <v>16</v>
      </c>
      <c r="L7" s="2">
        <v>7</v>
      </c>
      <c r="M7" s="2">
        <v>312</v>
      </c>
      <c r="N7" s="2">
        <v>0</v>
      </c>
      <c r="O7" s="2">
        <v>1</v>
      </c>
      <c r="P7" s="2">
        <v>-2</v>
      </c>
    </row>
    <row r="8" spans="1:16" x14ac:dyDescent="0.5">
      <c r="A8" s="2" t="s">
        <v>67</v>
      </c>
      <c r="B8" s="2">
        <v>155</v>
      </c>
      <c r="C8" s="2">
        <v>0</v>
      </c>
      <c r="D8" s="2">
        <v>30</v>
      </c>
      <c r="E8" s="2">
        <v>155</v>
      </c>
      <c r="F8" s="2">
        <v>8</v>
      </c>
      <c r="G8" s="2">
        <v>8</v>
      </c>
      <c r="H8" s="2">
        <v>10.52</v>
      </c>
      <c r="I8" s="2">
        <v>16</v>
      </c>
      <c r="J8" s="2">
        <v>14</v>
      </c>
      <c r="K8" s="2">
        <v>16</v>
      </c>
      <c r="L8" s="2">
        <v>7</v>
      </c>
      <c r="M8" s="2">
        <v>312</v>
      </c>
      <c r="N8" s="2">
        <v>124</v>
      </c>
      <c r="O8" s="2">
        <v>1</v>
      </c>
      <c r="P8" s="2">
        <v>10</v>
      </c>
    </row>
    <row r="9" spans="1:16" x14ac:dyDescent="0.5">
      <c r="A9" s="2" t="s">
        <v>68</v>
      </c>
      <c r="B9" s="2">
        <v>400</v>
      </c>
      <c r="C9" s="2">
        <v>0</v>
      </c>
      <c r="D9" s="2">
        <v>0</v>
      </c>
      <c r="E9" s="2">
        <v>280</v>
      </c>
      <c r="F9" s="2">
        <v>1</v>
      </c>
      <c r="G9" s="2">
        <v>1</v>
      </c>
      <c r="H9" s="2">
        <v>6.02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240</v>
      </c>
      <c r="O9" s="2">
        <v>1</v>
      </c>
      <c r="P9" s="2">
        <v>50</v>
      </c>
    </row>
    <row r="10" spans="1:16" x14ac:dyDescent="0.5">
      <c r="A10" s="2" t="s">
        <v>69</v>
      </c>
      <c r="B10" s="2">
        <v>400</v>
      </c>
      <c r="C10" s="2">
        <v>0</v>
      </c>
      <c r="D10" s="2">
        <v>0</v>
      </c>
      <c r="E10" s="2">
        <v>280</v>
      </c>
      <c r="F10" s="2">
        <v>1</v>
      </c>
      <c r="G10" s="2">
        <v>1</v>
      </c>
      <c r="H10" s="2">
        <v>5.47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240</v>
      </c>
      <c r="O10" s="2">
        <v>1</v>
      </c>
      <c r="P10" s="2">
        <v>16</v>
      </c>
    </row>
    <row r="11" spans="1:16" x14ac:dyDescent="0.5">
      <c r="A11" s="2" t="s">
        <v>70</v>
      </c>
      <c r="B11" s="2">
        <v>300</v>
      </c>
      <c r="C11" s="2">
        <v>0</v>
      </c>
      <c r="D11" s="2">
        <v>0</v>
      </c>
      <c r="E11" s="2">
        <v>300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240</v>
      </c>
      <c r="O11" s="2">
        <v>1</v>
      </c>
      <c r="P11" s="2">
        <v>24</v>
      </c>
    </row>
    <row r="12" spans="1:16" x14ac:dyDescent="0.5">
      <c r="A12" s="2" t="s">
        <v>71</v>
      </c>
      <c r="B12" s="2">
        <v>310</v>
      </c>
      <c r="C12" s="2">
        <v>0</v>
      </c>
      <c r="D12" s="2">
        <v>60</v>
      </c>
      <c r="E12" s="2">
        <v>180</v>
      </c>
      <c r="F12" s="2">
        <v>8</v>
      </c>
      <c r="G12" s="2">
        <v>8</v>
      </c>
      <c r="H12" s="2">
        <v>10.52</v>
      </c>
      <c r="I12" s="2">
        <v>17</v>
      </c>
      <c r="J12" s="2">
        <v>16</v>
      </c>
      <c r="K12" s="2">
        <v>14</v>
      </c>
      <c r="L12" s="2">
        <v>8</v>
      </c>
      <c r="M12" s="2">
        <v>624</v>
      </c>
      <c r="N12" s="2">
        <v>248</v>
      </c>
      <c r="O12" s="2">
        <v>1</v>
      </c>
      <c r="P12" s="2">
        <v>10</v>
      </c>
    </row>
    <row r="13" spans="1:16" x14ac:dyDescent="0.5">
      <c r="A13" s="2" t="s">
        <v>72</v>
      </c>
      <c r="B13" s="2">
        <v>350</v>
      </c>
      <c r="C13" s="2">
        <v>0</v>
      </c>
      <c r="D13" s="2">
        <v>40</v>
      </c>
      <c r="E13" s="2">
        <v>240</v>
      </c>
      <c r="F13" s="2">
        <v>8</v>
      </c>
      <c r="G13" s="2">
        <v>8</v>
      </c>
      <c r="H13" s="2">
        <v>10.89</v>
      </c>
      <c r="I13" s="2">
        <v>16</v>
      </c>
      <c r="J13" s="2">
        <v>14</v>
      </c>
      <c r="K13" s="2">
        <v>16</v>
      </c>
      <c r="L13" s="2">
        <v>8</v>
      </c>
      <c r="M13" s="2">
        <v>2298</v>
      </c>
      <c r="N13" s="2">
        <v>280</v>
      </c>
      <c r="O13" s="2">
        <v>1</v>
      </c>
      <c r="P13" s="2">
        <v>50</v>
      </c>
    </row>
    <row r="15" spans="1:16" x14ac:dyDescent="0.5">
      <c r="A15" s="2"/>
      <c r="B15" s="2"/>
      <c r="C15" s="2"/>
    </row>
    <row r="16" spans="1:16" x14ac:dyDescent="0.5">
      <c r="A16" s="2"/>
      <c r="B16" s="2"/>
      <c r="C16" s="2"/>
    </row>
    <row r="17" spans="1:3" x14ac:dyDescent="0.5">
      <c r="A17" s="2"/>
      <c r="B17" s="2"/>
      <c r="C17" s="2"/>
    </row>
    <row r="18" spans="1:3" x14ac:dyDescent="0.5">
      <c r="A18" s="2"/>
      <c r="B18" s="2"/>
      <c r="C18" s="2"/>
    </row>
    <row r="19" spans="1:3" x14ac:dyDescent="0.5">
      <c r="A19" s="2"/>
      <c r="B19" s="2"/>
      <c r="C19" s="2"/>
    </row>
    <row r="20" spans="1:3" x14ac:dyDescent="0.5">
      <c r="A20" s="2"/>
      <c r="B20" s="2"/>
      <c r="C20" s="2"/>
    </row>
    <row r="21" spans="1:3" x14ac:dyDescent="0.5">
      <c r="A21" s="2"/>
      <c r="B21" s="2"/>
      <c r="C21" s="2"/>
    </row>
    <row r="22" spans="1:3" x14ac:dyDescent="0.5">
      <c r="A22" s="2"/>
      <c r="B22" s="2"/>
      <c r="C22" s="2"/>
    </row>
    <row r="23" spans="1:3" x14ac:dyDescent="0.5">
      <c r="A23" s="2"/>
      <c r="B23" s="2"/>
      <c r="C23" s="2"/>
    </row>
    <row r="24" spans="1:3" x14ac:dyDescent="0.5">
      <c r="A24" s="2"/>
      <c r="B24" s="2"/>
      <c r="C24" s="2"/>
    </row>
    <row r="25" spans="1:3" x14ac:dyDescent="0.5">
      <c r="A25" s="2"/>
      <c r="B25" s="2"/>
      <c r="C25" s="2"/>
    </row>
    <row r="26" spans="1:3" x14ac:dyDescent="0.5">
      <c r="A26" s="2"/>
      <c r="B26" s="2"/>
      <c r="C26" s="2"/>
    </row>
    <row r="27" spans="1:3" x14ac:dyDescent="0.5">
      <c r="A27" s="2"/>
      <c r="B27" s="2"/>
      <c r="C27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75CC-BF60-4B5D-BDC7-5D06DC1A916B}">
  <dimension ref="A1:D21"/>
  <sheetViews>
    <sheetView zoomScale="70" zoomScaleNormal="70" workbookViewId="0">
      <selection activeCell="G19" sqref="G19"/>
    </sheetView>
  </sheetViews>
  <sheetFormatPr defaultRowHeight="17.649999999999999" x14ac:dyDescent="0.5"/>
  <cols>
    <col min="3" max="3" width="16.3125" customWidth="1"/>
  </cols>
  <sheetData>
    <row r="1" spans="1:4" x14ac:dyDescent="0.5">
      <c r="A1" s="11" t="s">
        <v>121</v>
      </c>
      <c r="B1" s="11" t="s">
        <v>65</v>
      </c>
      <c r="C1" s="11" t="s">
        <v>84</v>
      </c>
      <c r="D1" s="11" t="s">
        <v>91</v>
      </c>
    </row>
    <row r="2" spans="1:4" x14ac:dyDescent="0.5">
      <c r="A2" s="2" t="s">
        <v>73</v>
      </c>
      <c r="B2" s="2">
        <v>108</v>
      </c>
      <c r="C2" s="14">
        <v>98.4</v>
      </c>
      <c r="D2" s="12">
        <v>3.7894736842105265</v>
      </c>
    </row>
    <row r="3" spans="1:4" x14ac:dyDescent="0.5">
      <c r="A3" s="2" t="s">
        <v>74</v>
      </c>
      <c r="B3" s="2">
        <v>97</v>
      </c>
      <c r="C3" s="14">
        <v>92.15</v>
      </c>
      <c r="D3" s="12">
        <v>3.4035087719298245</v>
      </c>
    </row>
    <row r="4" spans="1:4" x14ac:dyDescent="0.5">
      <c r="A4" s="2" t="s">
        <v>76</v>
      </c>
      <c r="B4" s="2">
        <v>180</v>
      </c>
      <c r="C4" s="14">
        <v>86.3</v>
      </c>
      <c r="D4" s="12">
        <v>6.3157894736842106</v>
      </c>
    </row>
    <row r="5" spans="1:4" x14ac:dyDescent="0.5">
      <c r="A5" s="2" t="s">
        <v>77</v>
      </c>
      <c r="B5" s="2">
        <v>74</v>
      </c>
      <c r="C5" s="14">
        <v>80.5</v>
      </c>
      <c r="D5" s="12">
        <v>2.5964912280701755</v>
      </c>
    </row>
    <row r="6" spans="1:4" x14ac:dyDescent="0.5">
      <c r="A6" s="2" t="s">
        <v>92</v>
      </c>
      <c r="B6" s="2">
        <v>71</v>
      </c>
      <c r="C6" s="14">
        <v>74.8</v>
      </c>
      <c r="D6" s="12">
        <v>2.4912280701754383</v>
      </c>
    </row>
    <row r="7" spans="1:4" x14ac:dyDescent="0.5">
      <c r="A7" s="2" t="s">
        <v>93</v>
      </c>
      <c r="B7" s="2">
        <v>136</v>
      </c>
      <c r="C7" s="14">
        <v>69.2</v>
      </c>
      <c r="D7" s="12">
        <v>4.7719298245614032</v>
      </c>
    </row>
    <row r="8" spans="1:4" x14ac:dyDescent="0.5">
      <c r="A8" s="2" t="s">
        <v>94</v>
      </c>
      <c r="B8" s="2">
        <v>125</v>
      </c>
      <c r="C8" s="14">
        <v>63.75</v>
      </c>
      <c r="D8" s="12">
        <v>4.3859649122807012</v>
      </c>
    </row>
    <row r="9" spans="1:4" x14ac:dyDescent="0.5">
      <c r="A9" s="2" t="s">
        <v>95</v>
      </c>
      <c r="B9" s="2">
        <v>171</v>
      </c>
      <c r="C9" s="14">
        <v>58.4</v>
      </c>
      <c r="D9" s="12">
        <v>6</v>
      </c>
    </row>
    <row r="10" spans="1:4" x14ac:dyDescent="0.5">
      <c r="A10" s="2" t="s">
        <v>96</v>
      </c>
      <c r="B10" s="2">
        <v>175</v>
      </c>
      <c r="C10" s="14">
        <v>53.1</v>
      </c>
      <c r="D10" s="12">
        <v>6.140350877192982</v>
      </c>
    </row>
    <row r="11" spans="1:4" x14ac:dyDescent="0.5">
      <c r="A11" s="2" t="s">
        <v>97</v>
      </c>
      <c r="B11" s="2">
        <v>195</v>
      </c>
      <c r="C11" s="14">
        <v>47.95</v>
      </c>
      <c r="D11" s="12">
        <v>6.8421052631578956</v>
      </c>
    </row>
    <row r="12" spans="1:4" x14ac:dyDescent="0.5">
      <c r="A12" s="2" t="s">
        <v>100</v>
      </c>
      <c r="B12" s="2">
        <v>265</v>
      </c>
      <c r="C12" s="14">
        <v>42.8</v>
      </c>
      <c r="D12" s="12">
        <v>9.2982456140350873</v>
      </c>
    </row>
    <row r="13" spans="1:4" x14ac:dyDescent="0.5">
      <c r="A13" s="2" t="s">
        <v>101</v>
      </c>
      <c r="B13" s="2">
        <v>194</v>
      </c>
      <c r="C13" s="14">
        <v>37.75</v>
      </c>
      <c r="D13" s="12">
        <v>6.807017543859649</v>
      </c>
    </row>
    <row r="14" spans="1:4" x14ac:dyDescent="0.5">
      <c r="A14" s="2" t="s">
        <v>102</v>
      </c>
      <c r="B14" s="2">
        <v>317</v>
      </c>
      <c r="C14" s="14">
        <v>32.799999999999997</v>
      </c>
      <c r="D14" s="12">
        <v>11.12280701754386</v>
      </c>
    </row>
    <row r="15" spans="1:4" x14ac:dyDescent="0.5">
      <c r="A15" s="2" t="s">
        <v>103</v>
      </c>
      <c r="B15" s="2">
        <v>100</v>
      </c>
      <c r="C15" s="14">
        <v>27.9</v>
      </c>
      <c r="D15" s="12">
        <v>3.5087719298245612</v>
      </c>
    </row>
    <row r="16" spans="1:4" x14ac:dyDescent="0.5">
      <c r="A16" s="2" t="s">
        <v>105</v>
      </c>
      <c r="B16" s="2">
        <v>333</v>
      </c>
      <c r="C16" s="14">
        <v>23.15</v>
      </c>
      <c r="D16" s="12">
        <v>11.684210526315789</v>
      </c>
    </row>
    <row r="17" spans="1:4" x14ac:dyDescent="0.5">
      <c r="A17" s="2" t="s">
        <v>106</v>
      </c>
      <c r="B17" s="2">
        <v>181</v>
      </c>
      <c r="C17" s="14">
        <v>18.5</v>
      </c>
      <c r="D17" s="12">
        <v>6.3508771929824555</v>
      </c>
    </row>
    <row r="18" spans="1:4" x14ac:dyDescent="0.5">
      <c r="A18" s="2" t="s">
        <v>107</v>
      </c>
      <c r="B18" s="2">
        <v>128</v>
      </c>
      <c r="C18" s="14">
        <v>13.32</v>
      </c>
      <c r="D18" s="12">
        <v>4.4912280701754383</v>
      </c>
    </row>
    <row r="19" spans="1:4" x14ac:dyDescent="0.5">
      <c r="A19" s="2" t="s">
        <v>108</v>
      </c>
      <c r="B19" s="2">
        <v>0</v>
      </c>
      <c r="C19" s="14">
        <v>13.32</v>
      </c>
      <c r="D19" s="12">
        <v>0</v>
      </c>
    </row>
    <row r="20" spans="1:4" x14ac:dyDescent="0.5">
      <c r="D20" s="13"/>
    </row>
    <row r="21" spans="1:4" x14ac:dyDescent="0.5">
      <c r="D21" s="1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E8D2-DD82-4FFB-8AA3-9980C7EC557F}">
  <dimension ref="A1:Z25"/>
  <sheetViews>
    <sheetView zoomScale="70" zoomScaleNormal="70" workbookViewId="0">
      <selection activeCell="A26" sqref="A26"/>
    </sheetView>
  </sheetViews>
  <sheetFormatPr defaultRowHeight="17.649999999999999" x14ac:dyDescent="0.5"/>
  <sheetData>
    <row r="1" spans="1:26" x14ac:dyDescent="0.5">
      <c r="A1" t="s">
        <v>122</v>
      </c>
      <c r="B1" t="s">
        <v>73</v>
      </c>
      <c r="C1" t="s">
        <v>74</v>
      </c>
      <c r="D1" t="s">
        <v>76</v>
      </c>
      <c r="E1" t="s">
        <v>77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</row>
    <row r="2" spans="1:26" x14ac:dyDescent="0.5">
      <c r="A2">
        <v>1</v>
      </c>
      <c r="B2" s="1">
        <v>67.294800000000009</v>
      </c>
      <c r="C2" s="1">
        <v>60.4407</v>
      </c>
      <c r="D2" s="1">
        <v>112.15800000000002</v>
      </c>
      <c r="E2" s="1">
        <v>46.109400000000008</v>
      </c>
      <c r="F2" s="1">
        <v>44.240099999999991</v>
      </c>
      <c r="G2" s="1">
        <v>84.741600000000005</v>
      </c>
      <c r="H2" s="1">
        <v>77.887499999999989</v>
      </c>
      <c r="I2" s="1">
        <v>106.5501</v>
      </c>
      <c r="J2" s="1">
        <v>109.0425</v>
      </c>
      <c r="K2" s="1">
        <v>121.50450000000002</v>
      </c>
      <c r="L2" s="1">
        <v>0</v>
      </c>
      <c r="M2" s="1">
        <v>0</v>
      </c>
      <c r="N2" s="1">
        <v>165.12149999999997</v>
      </c>
      <c r="O2" s="1">
        <v>120.8814</v>
      </c>
      <c r="P2" s="1">
        <v>197.52270000000001</v>
      </c>
      <c r="Q2" s="1">
        <v>62.31</v>
      </c>
      <c r="R2" s="1">
        <v>0</v>
      </c>
      <c r="S2" s="1">
        <v>207.4923</v>
      </c>
      <c r="T2" s="1">
        <v>112.78109999999998</v>
      </c>
      <c r="U2" s="1">
        <v>79.756799999999998</v>
      </c>
      <c r="V2" s="1">
        <v>0</v>
      </c>
      <c r="W2" s="1">
        <v>0</v>
      </c>
      <c r="X2" s="1">
        <v>0</v>
      </c>
      <c r="Y2" s="1">
        <v>0</v>
      </c>
      <c r="Z2" s="1"/>
    </row>
    <row r="3" spans="1:26" x14ac:dyDescent="0.5">
      <c r="A3">
        <v>2</v>
      </c>
      <c r="B3" s="1">
        <v>63.277200000000001</v>
      </c>
      <c r="C3" s="1">
        <v>56.832300000000004</v>
      </c>
      <c r="D3" s="1">
        <v>105.462</v>
      </c>
      <c r="E3" s="1">
        <v>43.3566</v>
      </c>
      <c r="F3" s="1">
        <v>41.598899999999993</v>
      </c>
      <c r="G3" s="1">
        <v>79.682400000000001</v>
      </c>
      <c r="H3" s="1">
        <v>73.237499999999997</v>
      </c>
      <c r="I3" s="1">
        <v>100.18889999999999</v>
      </c>
      <c r="J3" s="1">
        <v>102.5325</v>
      </c>
      <c r="K3" s="1">
        <v>114.25050000000002</v>
      </c>
      <c r="L3" s="1">
        <v>0</v>
      </c>
      <c r="M3" s="1">
        <v>0</v>
      </c>
      <c r="N3" s="1">
        <v>155.26349999999999</v>
      </c>
      <c r="O3" s="1">
        <v>113.66460000000001</v>
      </c>
      <c r="P3" s="1">
        <v>185.7303</v>
      </c>
      <c r="Q3" s="1">
        <v>58.59</v>
      </c>
      <c r="R3" s="1">
        <v>0</v>
      </c>
      <c r="S3" s="1">
        <v>195.10470000000001</v>
      </c>
      <c r="T3" s="1">
        <v>106.04789999999998</v>
      </c>
      <c r="U3" s="1">
        <v>74.995199999999997</v>
      </c>
      <c r="V3" s="1">
        <v>0</v>
      </c>
      <c r="W3" s="1">
        <v>0</v>
      </c>
      <c r="X3" s="1">
        <v>0</v>
      </c>
      <c r="Y3" s="1">
        <v>0</v>
      </c>
      <c r="Z3" s="1"/>
    </row>
    <row r="4" spans="1:26" x14ac:dyDescent="0.5">
      <c r="A4">
        <v>3</v>
      </c>
      <c r="B4" s="1">
        <v>60.264000000000003</v>
      </c>
      <c r="C4" s="1">
        <v>54.125999999999998</v>
      </c>
      <c r="D4" s="1">
        <v>100.44</v>
      </c>
      <c r="E4" s="1">
        <v>41.292000000000002</v>
      </c>
      <c r="F4" s="1">
        <v>39.617999999999995</v>
      </c>
      <c r="G4" s="1">
        <v>75.887999999999991</v>
      </c>
      <c r="H4" s="1">
        <v>69.749999999999986</v>
      </c>
      <c r="I4" s="1">
        <v>95.417999999999992</v>
      </c>
      <c r="J4" s="1">
        <v>97.649999999999977</v>
      </c>
      <c r="K4" s="1">
        <v>108.81000000000002</v>
      </c>
      <c r="L4" s="1">
        <v>0</v>
      </c>
      <c r="M4" s="1">
        <v>0</v>
      </c>
      <c r="N4" s="1">
        <v>147.86999999999998</v>
      </c>
      <c r="O4" s="1">
        <v>108.252</v>
      </c>
      <c r="P4" s="1">
        <v>176.886</v>
      </c>
      <c r="Q4" s="1">
        <v>55.79999999999999</v>
      </c>
      <c r="R4" s="1">
        <v>0</v>
      </c>
      <c r="S4" s="1">
        <v>185.81399999999996</v>
      </c>
      <c r="T4" s="1">
        <v>100.99799999999999</v>
      </c>
      <c r="U4" s="1">
        <v>71.423999999999992</v>
      </c>
      <c r="V4" s="1">
        <v>0</v>
      </c>
      <c r="W4" s="1">
        <v>0</v>
      </c>
      <c r="X4" s="1">
        <v>0</v>
      </c>
      <c r="Y4" s="1">
        <v>0</v>
      </c>
      <c r="Z4" s="1"/>
    </row>
    <row r="5" spans="1:26" x14ac:dyDescent="0.5">
      <c r="A5">
        <v>4</v>
      </c>
      <c r="B5" s="1">
        <v>59.259600000000006</v>
      </c>
      <c r="C5" s="1">
        <v>53.2239</v>
      </c>
      <c r="D5" s="1">
        <v>98.766000000000005</v>
      </c>
      <c r="E5" s="1">
        <v>40.6038</v>
      </c>
      <c r="F5" s="1">
        <v>38.957700000000003</v>
      </c>
      <c r="G5" s="1">
        <v>74.623199999999997</v>
      </c>
      <c r="H5" s="1">
        <v>68.587499999999991</v>
      </c>
      <c r="I5" s="1">
        <v>93.827700000000007</v>
      </c>
      <c r="J5" s="1">
        <v>96.022499999999994</v>
      </c>
      <c r="K5" s="1">
        <v>106.99650000000001</v>
      </c>
      <c r="L5" s="1">
        <v>0</v>
      </c>
      <c r="M5" s="1">
        <v>0</v>
      </c>
      <c r="N5" s="1">
        <v>145.40549999999999</v>
      </c>
      <c r="O5" s="1">
        <v>106.4478</v>
      </c>
      <c r="P5" s="1">
        <v>173.93790000000001</v>
      </c>
      <c r="Q5" s="1">
        <v>54.87</v>
      </c>
      <c r="R5" s="1">
        <v>0</v>
      </c>
      <c r="S5" s="1">
        <v>182.71709999999999</v>
      </c>
      <c r="T5" s="1">
        <v>99.314699999999988</v>
      </c>
      <c r="U5" s="1">
        <v>70.233599999999996</v>
      </c>
      <c r="V5" s="1">
        <v>0</v>
      </c>
      <c r="W5" s="1">
        <v>0</v>
      </c>
      <c r="X5" s="1">
        <v>0</v>
      </c>
      <c r="Y5" s="1">
        <v>0</v>
      </c>
      <c r="Z5" s="1"/>
    </row>
    <row r="6" spans="1:26" x14ac:dyDescent="0.5">
      <c r="A6">
        <v>5</v>
      </c>
      <c r="B6" s="1">
        <v>59.259600000000006</v>
      </c>
      <c r="C6" s="1">
        <v>53.2239</v>
      </c>
      <c r="D6" s="1">
        <v>98.766000000000005</v>
      </c>
      <c r="E6" s="1">
        <v>40.6038</v>
      </c>
      <c r="F6" s="1">
        <v>38.957700000000003</v>
      </c>
      <c r="G6" s="1">
        <v>74.623199999999997</v>
      </c>
      <c r="H6" s="1">
        <v>68.587499999999991</v>
      </c>
      <c r="I6" s="1">
        <v>93.827700000000007</v>
      </c>
      <c r="J6" s="1">
        <v>96.022499999999994</v>
      </c>
      <c r="K6" s="1">
        <v>106.99650000000001</v>
      </c>
      <c r="L6" s="1">
        <v>0</v>
      </c>
      <c r="M6" s="1">
        <v>0</v>
      </c>
      <c r="N6" s="1">
        <v>145.40549999999999</v>
      </c>
      <c r="O6" s="1">
        <v>106.4478</v>
      </c>
      <c r="P6" s="1">
        <v>173.93790000000001</v>
      </c>
      <c r="Q6" s="1">
        <v>54.87</v>
      </c>
      <c r="R6" s="1">
        <v>0</v>
      </c>
      <c r="S6" s="1">
        <v>182.71709999999999</v>
      </c>
      <c r="T6" s="1">
        <v>99.314699999999988</v>
      </c>
      <c r="U6" s="1">
        <v>70.233599999999996</v>
      </c>
      <c r="V6" s="1">
        <v>0</v>
      </c>
      <c r="W6" s="1">
        <v>0</v>
      </c>
      <c r="X6" s="1">
        <v>0</v>
      </c>
      <c r="Y6" s="1">
        <v>0</v>
      </c>
      <c r="Z6" s="1"/>
    </row>
    <row r="7" spans="1:26" x14ac:dyDescent="0.5">
      <c r="A7">
        <v>6</v>
      </c>
      <c r="B7" s="1">
        <v>60.264000000000003</v>
      </c>
      <c r="C7" s="1">
        <v>54.125999999999998</v>
      </c>
      <c r="D7" s="1">
        <v>100.44</v>
      </c>
      <c r="E7" s="1">
        <v>41.292000000000002</v>
      </c>
      <c r="F7" s="1">
        <v>39.617999999999995</v>
      </c>
      <c r="G7" s="1">
        <v>75.887999999999991</v>
      </c>
      <c r="H7" s="1">
        <v>69.749999999999986</v>
      </c>
      <c r="I7" s="1">
        <v>95.417999999999992</v>
      </c>
      <c r="J7" s="1">
        <v>97.649999999999977</v>
      </c>
      <c r="K7" s="1">
        <v>108.81000000000002</v>
      </c>
      <c r="L7" s="1">
        <v>0</v>
      </c>
      <c r="M7" s="1">
        <v>0</v>
      </c>
      <c r="N7" s="1">
        <v>147.86999999999998</v>
      </c>
      <c r="O7" s="1">
        <v>108.252</v>
      </c>
      <c r="P7" s="1">
        <v>176.886</v>
      </c>
      <c r="Q7" s="1">
        <v>55.79999999999999</v>
      </c>
      <c r="R7" s="1">
        <v>0</v>
      </c>
      <c r="S7" s="1">
        <v>185.81399999999996</v>
      </c>
      <c r="T7" s="1">
        <v>100.99799999999999</v>
      </c>
      <c r="U7" s="1">
        <v>71.423999999999992</v>
      </c>
      <c r="V7" s="1">
        <v>0</v>
      </c>
      <c r="W7" s="1">
        <v>0</v>
      </c>
      <c r="X7" s="1">
        <v>0</v>
      </c>
      <c r="Y7" s="1">
        <v>0</v>
      </c>
      <c r="Z7" s="1"/>
    </row>
    <row r="8" spans="1:26" x14ac:dyDescent="0.5">
      <c r="A8">
        <v>7</v>
      </c>
      <c r="B8" s="1">
        <v>74.325600000000009</v>
      </c>
      <c r="C8" s="1">
        <v>66.755399999999995</v>
      </c>
      <c r="D8" s="1">
        <v>123.876</v>
      </c>
      <c r="E8" s="1">
        <v>50.9268</v>
      </c>
      <c r="F8" s="1">
        <v>48.862199999999994</v>
      </c>
      <c r="G8" s="1">
        <v>93.595199999999991</v>
      </c>
      <c r="H8" s="1">
        <v>86.024999999999977</v>
      </c>
      <c r="I8" s="1">
        <v>117.68219999999999</v>
      </c>
      <c r="J8" s="1">
        <v>120.43499999999999</v>
      </c>
      <c r="K8" s="1">
        <v>134.19900000000001</v>
      </c>
      <c r="L8" s="1">
        <v>0</v>
      </c>
      <c r="M8" s="1">
        <v>0</v>
      </c>
      <c r="N8" s="1">
        <v>182.37299999999999</v>
      </c>
      <c r="O8" s="1">
        <v>133.51079999999999</v>
      </c>
      <c r="P8" s="1">
        <v>218.15939999999998</v>
      </c>
      <c r="Q8" s="1">
        <v>68.819999999999993</v>
      </c>
      <c r="R8" s="1">
        <v>0</v>
      </c>
      <c r="S8" s="1">
        <v>229.17059999999998</v>
      </c>
      <c r="T8" s="1">
        <v>124.56419999999999</v>
      </c>
      <c r="U8" s="1">
        <v>88.08959999999999</v>
      </c>
      <c r="V8" s="1">
        <v>0</v>
      </c>
      <c r="W8" s="1">
        <v>0</v>
      </c>
      <c r="X8" s="1">
        <v>0</v>
      </c>
      <c r="Y8" s="1">
        <v>0</v>
      </c>
      <c r="Z8" s="1"/>
    </row>
    <row r="9" spans="1:26" x14ac:dyDescent="0.5">
      <c r="A9">
        <v>8</v>
      </c>
      <c r="B9" s="1">
        <v>86.378399999999999</v>
      </c>
      <c r="C9" s="1">
        <v>77.58059999999999</v>
      </c>
      <c r="D9" s="1">
        <v>143.964</v>
      </c>
      <c r="E9" s="1">
        <v>59.185199999999995</v>
      </c>
      <c r="F9" s="1">
        <v>56.785799999999988</v>
      </c>
      <c r="G9" s="1">
        <v>108.77279999999999</v>
      </c>
      <c r="H9" s="1">
        <v>99.97499999999998</v>
      </c>
      <c r="I9" s="1">
        <v>136.76579999999998</v>
      </c>
      <c r="J9" s="1">
        <v>139.96499999999997</v>
      </c>
      <c r="K9" s="1">
        <v>155.96100000000001</v>
      </c>
      <c r="L9" s="1">
        <v>0</v>
      </c>
      <c r="M9" s="1">
        <v>0</v>
      </c>
      <c r="N9" s="1">
        <v>211.94699999999997</v>
      </c>
      <c r="O9" s="1">
        <v>155.16119999999998</v>
      </c>
      <c r="P9" s="1">
        <v>253.53659999999999</v>
      </c>
      <c r="Q9" s="1">
        <v>79.97999999999999</v>
      </c>
      <c r="R9" s="1">
        <v>0</v>
      </c>
      <c r="S9" s="1">
        <v>266.33339999999998</v>
      </c>
      <c r="T9" s="1">
        <v>144.76379999999997</v>
      </c>
      <c r="U9" s="1">
        <v>102.37439999999998</v>
      </c>
      <c r="V9" s="1">
        <v>0</v>
      </c>
      <c r="W9" s="1">
        <v>0</v>
      </c>
      <c r="X9" s="1">
        <v>0</v>
      </c>
      <c r="Y9" s="1">
        <v>0</v>
      </c>
      <c r="Z9" s="1"/>
    </row>
    <row r="10" spans="1:26" x14ac:dyDescent="0.5">
      <c r="A10">
        <v>9</v>
      </c>
      <c r="B10" s="1">
        <v>91.628526315789472</v>
      </c>
      <c r="C10" s="1">
        <v>82.295991228070179</v>
      </c>
      <c r="D10" s="1">
        <v>152.71421052631578</v>
      </c>
      <c r="E10" s="1">
        <v>62.782508771929827</v>
      </c>
      <c r="F10" s="1">
        <v>60.237271929824558</v>
      </c>
      <c r="G10" s="1">
        <v>115.38407017543859</v>
      </c>
      <c r="H10" s="1">
        <v>106.05153508771927</v>
      </c>
      <c r="I10" s="1">
        <v>145.07849999999999</v>
      </c>
      <c r="J10" s="1">
        <v>148.472149122807</v>
      </c>
      <c r="K10" s="1">
        <v>165.44039473684214</v>
      </c>
      <c r="L10" s="1">
        <v>0</v>
      </c>
      <c r="M10" s="1">
        <v>0</v>
      </c>
      <c r="N10" s="1">
        <v>224.82925438596487</v>
      </c>
      <c r="O10" s="1">
        <v>164.59198245614036</v>
      </c>
      <c r="P10" s="1">
        <v>268.94669298245611</v>
      </c>
      <c r="Q10" s="1">
        <v>84.841228070175433</v>
      </c>
      <c r="R10" s="1">
        <v>0</v>
      </c>
      <c r="S10" s="1">
        <v>282.52128947368419</v>
      </c>
      <c r="T10" s="1">
        <v>153.56262280701753</v>
      </c>
      <c r="U10" s="1">
        <v>108.59677192982456</v>
      </c>
      <c r="V10" s="1">
        <v>0</v>
      </c>
      <c r="W10" s="1">
        <v>0</v>
      </c>
      <c r="X10" s="1">
        <v>0</v>
      </c>
      <c r="Y10" s="1">
        <v>0</v>
      </c>
      <c r="Z10" s="1"/>
    </row>
    <row r="11" spans="1:26" x14ac:dyDescent="0.5">
      <c r="A11">
        <v>10</v>
      </c>
      <c r="B11" s="1">
        <v>96.422399999999996</v>
      </c>
      <c r="C11" s="1">
        <v>86.601600000000005</v>
      </c>
      <c r="D11" s="1">
        <v>160.70400000000001</v>
      </c>
      <c r="E11" s="1">
        <v>66.0672</v>
      </c>
      <c r="F11" s="1">
        <v>63.388799999999989</v>
      </c>
      <c r="G11" s="1">
        <v>121.4208</v>
      </c>
      <c r="H11" s="1">
        <v>111.59999999999998</v>
      </c>
      <c r="I11" s="1">
        <v>152.6688</v>
      </c>
      <c r="J11" s="1">
        <v>156.23999999999998</v>
      </c>
      <c r="K11" s="1">
        <v>174.09600000000003</v>
      </c>
      <c r="L11" s="1">
        <v>0</v>
      </c>
      <c r="M11" s="1">
        <v>0</v>
      </c>
      <c r="N11" s="1">
        <v>236.59200000000001</v>
      </c>
      <c r="O11" s="1">
        <v>173.20320000000001</v>
      </c>
      <c r="P11" s="1">
        <v>283.01759999999996</v>
      </c>
      <c r="Q11" s="1">
        <v>89.28</v>
      </c>
      <c r="R11" s="1">
        <v>0</v>
      </c>
      <c r="S11" s="1">
        <v>297.30240000000003</v>
      </c>
      <c r="T11" s="1">
        <v>161.59679999999997</v>
      </c>
      <c r="U11" s="1">
        <v>114.2784</v>
      </c>
      <c r="V11" s="1">
        <v>0</v>
      </c>
      <c r="W11" s="1">
        <v>0</v>
      </c>
      <c r="X11" s="1">
        <v>0</v>
      </c>
      <c r="Y11" s="1">
        <v>0</v>
      </c>
      <c r="Z11" s="1"/>
    </row>
    <row r="12" spans="1:26" x14ac:dyDescent="0.5">
      <c r="A12">
        <v>11</v>
      </c>
      <c r="B12" s="1">
        <v>96.422399999999996</v>
      </c>
      <c r="C12" s="1">
        <v>86.601600000000005</v>
      </c>
      <c r="D12" s="1">
        <v>160.70400000000001</v>
      </c>
      <c r="E12" s="1">
        <v>66.0672</v>
      </c>
      <c r="F12" s="1">
        <v>63.388799999999989</v>
      </c>
      <c r="G12" s="1">
        <v>121.4208</v>
      </c>
      <c r="H12" s="1">
        <v>111.59999999999998</v>
      </c>
      <c r="I12" s="1">
        <v>152.6688</v>
      </c>
      <c r="J12" s="1">
        <v>156.23999999999998</v>
      </c>
      <c r="K12" s="1">
        <v>174.09600000000003</v>
      </c>
      <c r="L12" s="1">
        <v>0</v>
      </c>
      <c r="M12" s="1">
        <v>0</v>
      </c>
      <c r="N12" s="1">
        <v>236.59200000000001</v>
      </c>
      <c r="O12" s="1">
        <v>173.20320000000001</v>
      </c>
      <c r="P12" s="1">
        <v>283.01759999999996</v>
      </c>
      <c r="Q12" s="1">
        <v>89.28</v>
      </c>
      <c r="R12" s="1">
        <v>0</v>
      </c>
      <c r="S12" s="1">
        <v>297.30240000000003</v>
      </c>
      <c r="T12" s="1">
        <v>161.59679999999997</v>
      </c>
      <c r="U12" s="1">
        <v>114.2784</v>
      </c>
      <c r="V12" s="1">
        <v>0</v>
      </c>
      <c r="W12" s="1">
        <v>0</v>
      </c>
      <c r="X12" s="1">
        <v>0</v>
      </c>
      <c r="Y12" s="1">
        <v>0</v>
      </c>
      <c r="Z12" s="1"/>
    </row>
    <row r="13" spans="1:26" x14ac:dyDescent="0.5">
      <c r="A13">
        <v>12</v>
      </c>
      <c r="B13" s="1">
        <v>95.418000000000006</v>
      </c>
      <c r="C13" s="1">
        <v>85.699499999999986</v>
      </c>
      <c r="D13" s="1">
        <v>159.03</v>
      </c>
      <c r="E13" s="1">
        <v>65.378999999999991</v>
      </c>
      <c r="F13" s="1">
        <v>62.728499999999997</v>
      </c>
      <c r="G13" s="1">
        <v>120.15599999999999</v>
      </c>
      <c r="H13" s="1">
        <v>110.43749999999999</v>
      </c>
      <c r="I13" s="1">
        <v>151.07849999999999</v>
      </c>
      <c r="J13" s="1">
        <v>154.61249999999998</v>
      </c>
      <c r="K13" s="1">
        <v>172.2825</v>
      </c>
      <c r="L13" s="1">
        <v>0</v>
      </c>
      <c r="M13" s="1">
        <v>0</v>
      </c>
      <c r="N13" s="1">
        <v>234.12749999999997</v>
      </c>
      <c r="O13" s="1">
        <v>171.39899999999997</v>
      </c>
      <c r="P13" s="1">
        <v>280.06949999999995</v>
      </c>
      <c r="Q13" s="1">
        <v>88.35</v>
      </c>
      <c r="R13" s="1">
        <v>0</v>
      </c>
      <c r="S13" s="1">
        <v>294.20549999999997</v>
      </c>
      <c r="T13" s="1">
        <v>159.9135</v>
      </c>
      <c r="U13" s="1">
        <v>113.08799999999999</v>
      </c>
      <c r="V13" s="1">
        <v>0</v>
      </c>
      <c r="W13" s="1">
        <v>0</v>
      </c>
      <c r="X13" s="1">
        <v>0</v>
      </c>
      <c r="Y13" s="1">
        <v>0</v>
      </c>
      <c r="Z13" s="1"/>
    </row>
    <row r="14" spans="1:26" x14ac:dyDescent="0.5">
      <c r="A14">
        <v>13</v>
      </c>
      <c r="B14" s="1">
        <v>95.418000000000006</v>
      </c>
      <c r="C14" s="1">
        <v>85.699499999999986</v>
      </c>
      <c r="D14" s="1">
        <v>159.03</v>
      </c>
      <c r="E14" s="1">
        <v>65.378999999999991</v>
      </c>
      <c r="F14" s="1">
        <v>62.728499999999997</v>
      </c>
      <c r="G14" s="1">
        <v>120.15599999999999</v>
      </c>
      <c r="H14" s="1">
        <v>110.43749999999999</v>
      </c>
      <c r="I14" s="1">
        <v>151.07849999999999</v>
      </c>
      <c r="J14" s="1">
        <v>154.61249999999998</v>
      </c>
      <c r="K14" s="1">
        <v>172.2825</v>
      </c>
      <c r="L14" s="1">
        <v>0</v>
      </c>
      <c r="M14" s="1">
        <v>0</v>
      </c>
      <c r="N14" s="1">
        <v>234.12749999999997</v>
      </c>
      <c r="O14" s="1">
        <v>171.39899999999997</v>
      </c>
      <c r="P14" s="1">
        <v>280.06949999999995</v>
      </c>
      <c r="Q14" s="1">
        <v>88.35</v>
      </c>
      <c r="R14" s="1">
        <v>0</v>
      </c>
      <c r="S14" s="1">
        <v>294.20549999999997</v>
      </c>
      <c r="T14" s="1">
        <v>159.9135</v>
      </c>
      <c r="U14" s="1">
        <v>113.08799999999999</v>
      </c>
      <c r="V14" s="1">
        <v>0</v>
      </c>
      <c r="W14" s="1">
        <v>0</v>
      </c>
      <c r="X14" s="1">
        <v>0</v>
      </c>
      <c r="Y14" s="1">
        <v>0</v>
      </c>
      <c r="Z14" s="1"/>
    </row>
    <row r="15" spans="1:26" x14ac:dyDescent="0.5">
      <c r="A15">
        <v>14</v>
      </c>
      <c r="B15" s="1">
        <v>95.418000000000006</v>
      </c>
      <c r="C15" s="1">
        <v>85.699499999999986</v>
      </c>
      <c r="D15" s="1">
        <v>159.03</v>
      </c>
      <c r="E15" s="1">
        <v>65.378999999999991</v>
      </c>
      <c r="F15" s="1">
        <v>62.728499999999997</v>
      </c>
      <c r="G15" s="1">
        <v>120.15599999999999</v>
      </c>
      <c r="H15" s="1">
        <v>110.43749999999999</v>
      </c>
      <c r="I15" s="1">
        <v>151.07849999999999</v>
      </c>
      <c r="J15" s="1">
        <v>154.61249999999998</v>
      </c>
      <c r="K15" s="1">
        <v>172.2825</v>
      </c>
      <c r="L15" s="1">
        <v>0</v>
      </c>
      <c r="M15" s="1">
        <v>0</v>
      </c>
      <c r="N15" s="1">
        <v>234.12749999999997</v>
      </c>
      <c r="O15" s="1">
        <v>171.39899999999997</v>
      </c>
      <c r="P15" s="1">
        <v>280.06949999999995</v>
      </c>
      <c r="Q15" s="1">
        <v>88.35</v>
      </c>
      <c r="R15" s="1">
        <v>0</v>
      </c>
      <c r="S15" s="1">
        <v>294.20549999999997</v>
      </c>
      <c r="T15" s="1">
        <v>159.9135</v>
      </c>
      <c r="U15" s="1">
        <v>113.08799999999999</v>
      </c>
      <c r="V15" s="1">
        <v>0</v>
      </c>
      <c r="W15" s="1">
        <v>0</v>
      </c>
      <c r="X15" s="1">
        <v>0</v>
      </c>
      <c r="Y15" s="1">
        <v>0</v>
      </c>
      <c r="Z15" s="1"/>
    </row>
    <row r="16" spans="1:26" x14ac:dyDescent="0.5">
      <c r="A16">
        <v>15</v>
      </c>
      <c r="B16" s="1">
        <v>93.409200000000013</v>
      </c>
      <c r="C16" s="1">
        <v>83.895300000000006</v>
      </c>
      <c r="D16" s="1">
        <v>155.68200000000002</v>
      </c>
      <c r="E16" s="1">
        <v>64.002600000000001</v>
      </c>
      <c r="F16" s="1">
        <v>61.407899999999998</v>
      </c>
      <c r="G16" s="1">
        <v>117.62639999999999</v>
      </c>
      <c r="H16" s="1">
        <v>108.1125</v>
      </c>
      <c r="I16" s="1">
        <v>147.89790000000002</v>
      </c>
      <c r="J16" s="1">
        <v>151.35749999999999</v>
      </c>
      <c r="K16" s="1">
        <v>168.65550000000002</v>
      </c>
      <c r="L16" s="1">
        <v>0</v>
      </c>
      <c r="M16" s="1">
        <v>0</v>
      </c>
      <c r="N16" s="1">
        <v>229.1985</v>
      </c>
      <c r="O16" s="1">
        <v>167.79060000000001</v>
      </c>
      <c r="P16" s="1">
        <v>274.17330000000004</v>
      </c>
      <c r="Q16" s="1">
        <v>86.49</v>
      </c>
      <c r="R16" s="1">
        <v>0</v>
      </c>
      <c r="S16" s="1">
        <v>288.01170000000002</v>
      </c>
      <c r="T16" s="1">
        <v>156.54689999999999</v>
      </c>
      <c r="U16" s="1">
        <v>110.7072</v>
      </c>
      <c r="V16" s="1">
        <v>0</v>
      </c>
      <c r="W16" s="1">
        <v>0</v>
      </c>
      <c r="X16" s="1">
        <v>0</v>
      </c>
      <c r="Y16" s="1">
        <v>0</v>
      </c>
      <c r="Z16" s="1"/>
    </row>
    <row r="17" spans="1:26" x14ac:dyDescent="0.5">
      <c r="A17">
        <v>16</v>
      </c>
      <c r="B17" s="1">
        <v>93.409200000000013</v>
      </c>
      <c r="C17" s="1">
        <v>83.895300000000006</v>
      </c>
      <c r="D17" s="1">
        <v>155.68200000000002</v>
      </c>
      <c r="E17" s="1">
        <v>64.002600000000001</v>
      </c>
      <c r="F17" s="1">
        <v>61.407899999999998</v>
      </c>
      <c r="G17" s="1">
        <v>117.62639999999999</v>
      </c>
      <c r="H17" s="1">
        <v>108.1125</v>
      </c>
      <c r="I17" s="1">
        <v>147.89790000000002</v>
      </c>
      <c r="J17" s="1">
        <v>151.35749999999999</v>
      </c>
      <c r="K17" s="1">
        <v>168.65550000000002</v>
      </c>
      <c r="L17" s="1">
        <v>0</v>
      </c>
      <c r="M17" s="1">
        <v>0</v>
      </c>
      <c r="N17" s="1">
        <v>229.1985</v>
      </c>
      <c r="O17" s="1">
        <v>167.79060000000001</v>
      </c>
      <c r="P17" s="1">
        <v>274.17330000000004</v>
      </c>
      <c r="Q17" s="1">
        <v>86.49</v>
      </c>
      <c r="R17" s="1">
        <v>0</v>
      </c>
      <c r="S17" s="1">
        <v>288.01170000000002</v>
      </c>
      <c r="T17" s="1">
        <v>156.54689999999999</v>
      </c>
      <c r="U17" s="1">
        <v>110.7072</v>
      </c>
      <c r="V17" s="1">
        <v>0</v>
      </c>
      <c r="W17" s="1">
        <v>0</v>
      </c>
      <c r="X17" s="1">
        <v>0</v>
      </c>
      <c r="Y17" s="1">
        <v>0</v>
      </c>
      <c r="Z17" s="1"/>
    </row>
    <row r="18" spans="1:26" x14ac:dyDescent="0.5">
      <c r="A18">
        <v>17</v>
      </c>
      <c r="B18" s="1">
        <v>99.435599999999994</v>
      </c>
      <c r="C18" s="1">
        <v>89.307899999999989</v>
      </c>
      <c r="D18" s="1">
        <v>165.726</v>
      </c>
      <c r="E18" s="1">
        <v>68.131799999999998</v>
      </c>
      <c r="F18" s="1">
        <v>65.369699999999995</v>
      </c>
      <c r="G18" s="1">
        <v>125.21519999999998</v>
      </c>
      <c r="H18" s="1">
        <v>115.08749999999998</v>
      </c>
      <c r="I18" s="1">
        <v>157.43969999999999</v>
      </c>
      <c r="J18" s="1">
        <v>161.12249999999997</v>
      </c>
      <c r="K18" s="1">
        <v>179.53650000000002</v>
      </c>
      <c r="L18" s="1">
        <v>0</v>
      </c>
      <c r="M18" s="1">
        <v>0</v>
      </c>
      <c r="N18" s="1">
        <v>243.9855</v>
      </c>
      <c r="O18" s="1">
        <v>178.61579999999998</v>
      </c>
      <c r="P18" s="1">
        <v>291.86189999999999</v>
      </c>
      <c r="Q18" s="1">
        <v>92.07</v>
      </c>
      <c r="R18" s="1">
        <v>0</v>
      </c>
      <c r="S18" s="1">
        <v>306.59309999999999</v>
      </c>
      <c r="T18" s="1">
        <v>166.64669999999998</v>
      </c>
      <c r="U18" s="1">
        <v>117.8496</v>
      </c>
      <c r="V18" s="1">
        <v>0</v>
      </c>
      <c r="W18" s="1">
        <v>0</v>
      </c>
      <c r="X18" s="1">
        <v>0</v>
      </c>
      <c r="Y18" s="1">
        <v>0</v>
      </c>
      <c r="Z18" s="1"/>
    </row>
    <row r="19" spans="1:26" x14ac:dyDescent="0.5">
      <c r="A19">
        <v>18</v>
      </c>
      <c r="B19" s="1">
        <v>100.44</v>
      </c>
      <c r="C19" s="1">
        <v>90.21</v>
      </c>
      <c r="D19" s="1">
        <v>167.4</v>
      </c>
      <c r="E19" s="1">
        <v>68.819999999999993</v>
      </c>
      <c r="F19" s="1">
        <v>66.029999999999987</v>
      </c>
      <c r="G19" s="1">
        <v>126.48</v>
      </c>
      <c r="H19" s="1">
        <v>116.24999999999999</v>
      </c>
      <c r="I19" s="1">
        <v>159.03</v>
      </c>
      <c r="J19" s="1">
        <v>162.74999999999997</v>
      </c>
      <c r="K19" s="1">
        <v>181.35000000000002</v>
      </c>
      <c r="L19" s="1">
        <v>0</v>
      </c>
      <c r="M19" s="1">
        <v>0</v>
      </c>
      <c r="N19" s="1">
        <v>246.45</v>
      </c>
      <c r="O19" s="1">
        <v>180.42</v>
      </c>
      <c r="P19" s="1">
        <v>294.81</v>
      </c>
      <c r="Q19" s="1">
        <v>93</v>
      </c>
      <c r="R19" s="1">
        <v>0</v>
      </c>
      <c r="S19" s="1">
        <v>309.69</v>
      </c>
      <c r="T19" s="1">
        <v>168.33</v>
      </c>
      <c r="U19" s="1">
        <v>119.04</v>
      </c>
      <c r="V19" s="1">
        <v>0</v>
      </c>
      <c r="W19" s="1">
        <v>0</v>
      </c>
      <c r="X19" s="1">
        <v>0</v>
      </c>
      <c r="Y19" s="1">
        <v>0</v>
      </c>
      <c r="Z19" s="1"/>
    </row>
    <row r="20" spans="1:26" x14ac:dyDescent="0.5">
      <c r="A20">
        <v>19</v>
      </c>
      <c r="B20" s="1">
        <v>100.44</v>
      </c>
      <c r="C20" s="1">
        <v>90.21</v>
      </c>
      <c r="D20" s="1">
        <v>167.4</v>
      </c>
      <c r="E20" s="1">
        <v>68.819999999999993</v>
      </c>
      <c r="F20" s="1">
        <v>66.029999999999987</v>
      </c>
      <c r="G20" s="1">
        <v>126.48</v>
      </c>
      <c r="H20" s="1">
        <v>116.24999999999999</v>
      </c>
      <c r="I20" s="1">
        <v>159.03</v>
      </c>
      <c r="J20" s="1">
        <v>162.74999999999997</v>
      </c>
      <c r="K20" s="1">
        <v>181.35000000000002</v>
      </c>
      <c r="L20" s="1">
        <v>0</v>
      </c>
      <c r="M20" s="1">
        <v>0</v>
      </c>
      <c r="N20" s="1">
        <v>246.45</v>
      </c>
      <c r="O20" s="1">
        <v>180.42</v>
      </c>
      <c r="P20" s="1">
        <v>294.81</v>
      </c>
      <c r="Q20" s="1">
        <v>93</v>
      </c>
      <c r="R20" s="1">
        <v>0</v>
      </c>
      <c r="S20" s="1">
        <v>309.69</v>
      </c>
      <c r="T20" s="1">
        <v>168.33</v>
      </c>
      <c r="U20" s="1">
        <v>119.04</v>
      </c>
      <c r="V20" s="1">
        <v>0</v>
      </c>
      <c r="W20" s="1">
        <v>0</v>
      </c>
      <c r="X20" s="1">
        <v>0</v>
      </c>
      <c r="Y20" s="1">
        <v>0</v>
      </c>
      <c r="Z20" s="1"/>
    </row>
    <row r="21" spans="1:26" x14ac:dyDescent="0.5">
      <c r="A21">
        <v>20</v>
      </c>
      <c r="B21" s="1">
        <v>96.422399999999996</v>
      </c>
      <c r="C21" s="1">
        <v>86.601600000000005</v>
      </c>
      <c r="D21" s="1">
        <v>160.70400000000001</v>
      </c>
      <c r="E21" s="1">
        <v>66.0672</v>
      </c>
      <c r="F21" s="1">
        <v>63.388799999999989</v>
      </c>
      <c r="G21" s="1">
        <v>121.4208</v>
      </c>
      <c r="H21" s="1">
        <v>111.59999999999998</v>
      </c>
      <c r="I21" s="1">
        <v>152.6688</v>
      </c>
      <c r="J21" s="1">
        <v>156.23999999999998</v>
      </c>
      <c r="K21" s="1">
        <v>174.09600000000003</v>
      </c>
      <c r="L21" s="1">
        <v>0</v>
      </c>
      <c r="M21" s="1">
        <v>0</v>
      </c>
      <c r="N21" s="1">
        <v>236.59200000000001</v>
      </c>
      <c r="O21" s="1">
        <v>173.20320000000001</v>
      </c>
      <c r="P21" s="1">
        <v>283.01759999999996</v>
      </c>
      <c r="Q21" s="1">
        <v>89.28</v>
      </c>
      <c r="R21" s="1">
        <v>0</v>
      </c>
      <c r="S21" s="1">
        <v>297.30240000000003</v>
      </c>
      <c r="T21" s="1">
        <v>161.59679999999997</v>
      </c>
      <c r="U21" s="1">
        <v>114.2784</v>
      </c>
      <c r="V21" s="1">
        <v>0</v>
      </c>
      <c r="W21" s="1">
        <v>0</v>
      </c>
      <c r="X21" s="1">
        <v>0</v>
      </c>
      <c r="Y21" s="1">
        <v>0</v>
      </c>
      <c r="Z21" s="1"/>
    </row>
    <row r="22" spans="1:26" x14ac:dyDescent="0.5">
      <c r="A22">
        <v>21</v>
      </c>
      <c r="B22" s="1">
        <v>91.400400000000005</v>
      </c>
      <c r="C22" s="1">
        <v>82.091099999999983</v>
      </c>
      <c r="D22" s="1">
        <v>152.334</v>
      </c>
      <c r="E22" s="1">
        <v>62.626199999999997</v>
      </c>
      <c r="F22" s="1">
        <v>60.087299999999999</v>
      </c>
      <c r="G22" s="1">
        <v>115.09679999999999</v>
      </c>
      <c r="H22" s="1">
        <v>105.78749999999998</v>
      </c>
      <c r="I22" s="1">
        <v>144.71729999999999</v>
      </c>
      <c r="J22" s="1">
        <v>148.10249999999999</v>
      </c>
      <c r="K22" s="1">
        <v>165.02850000000001</v>
      </c>
      <c r="L22" s="1">
        <v>0</v>
      </c>
      <c r="M22" s="1">
        <v>0</v>
      </c>
      <c r="N22" s="1">
        <v>224.26949999999997</v>
      </c>
      <c r="O22" s="1">
        <v>164.18219999999997</v>
      </c>
      <c r="P22" s="1">
        <v>268.27710000000002</v>
      </c>
      <c r="Q22" s="1">
        <v>84.63</v>
      </c>
      <c r="R22" s="1">
        <v>0</v>
      </c>
      <c r="S22" s="1">
        <v>281.81789999999995</v>
      </c>
      <c r="T22" s="1">
        <v>153.18029999999996</v>
      </c>
      <c r="U22" s="1">
        <v>108.32639999999999</v>
      </c>
      <c r="V22" s="1">
        <v>0</v>
      </c>
      <c r="W22" s="1">
        <v>0</v>
      </c>
      <c r="X22" s="1">
        <v>0</v>
      </c>
      <c r="Y22" s="1">
        <v>0</v>
      </c>
      <c r="Z22" s="1"/>
    </row>
    <row r="23" spans="1:26" x14ac:dyDescent="0.5">
      <c r="A23">
        <v>22</v>
      </c>
      <c r="B23" s="1">
        <v>83.365200000000002</v>
      </c>
      <c r="C23" s="1">
        <v>74.874299999999991</v>
      </c>
      <c r="D23" s="1">
        <v>138.94200000000001</v>
      </c>
      <c r="E23" s="1">
        <v>57.120600000000003</v>
      </c>
      <c r="F23" s="1">
        <v>54.804899999999996</v>
      </c>
      <c r="G23" s="1">
        <v>104.97840000000001</v>
      </c>
      <c r="H23" s="1">
        <v>96.487499999999983</v>
      </c>
      <c r="I23" s="1">
        <v>131.9949</v>
      </c>
      <c r="J23" s="1">
        <v>135.08249999999998</v>
      </c>
      <c r="K23" s="1">
        <v>150.5205</v>
      </c>
      <c r="L23" s="1">
        <v>0</v>
      </c>
      <c r="M23" s="1">
        <v>0</v>
      </c>
      <c r="N23" s="1">
        <v>204.55349999999999</v>
      </c>
      <c r="O23" s="1">
        <v>149.74859999999998</v>
      </c>
      <c r="P23" s="1">
        <v>244.69229999999999</v>
      </c>
      <c r="Q23" s="1">
        <v>77.19</v>
      </c>
      <c r="R23" s="1">
        <v>0</v>
      </c>
      <c r="S23" s="1">
        <v>257.04270000000002</v>
      </c>
      <c r="T23" s="1">
        <v>139.71389999999997</v>
      </c>
      <c r="U23" s="1">
        <v>98.803200000000004</v>
      </c>
      <c r="V23" s="1">
        <v>0</v>
      </c>
      <c r="W23" s="1">
        <v>0</v>
      </c>
      <c r="X23" s="1">
        <v>0</v>
      </c>
      <c r="Y23" s="1">
        <v>0</v>
      </c>
      <c r="Z23" s="1"/>
    </row>
    <row r="24" spans="1:26" x14ac:dyDescent="0.5">
      <c r="A24">
        <v>23</v>
      </c>
      <c r="B24" s="1">
        <v>73.321200000000005</v>
      </c>
      <c r="C24" s="1">
        <v>65.853300000000004</v>
      </c>
      <c r="D24" s="1">
        <v>122.20200000000001</v>
      </c>
      <c r="E24" s="1">
        <v>50.238600000000005</v>
      </c>
      <c r="F24" s="1">
        <v>48.201899999999995</v>
      </c>
      <c r="G24" s="1">
        <v>92.330399999999997</v>
      </c>
      <c r="H24" s="1">
        <v>84.862499999999983</v>
      </c>
      <c r="I24" s="1">
        <v>116.09190000000001</v>
      </c>
      <c r="J24" s="1">
        <v>118.8075</v>
      </c>
      <c r="K24" s="1">
        <v>132.38550000000001</v>
      </c>
      <c r="L24" s="1">
        <v>0</v>
      </c>
      <c r="M24" s="1">
        <v>0</v>
      </c>
      <c r="N24" s="1">
        <v>179.90849999999998</v>
      </c>
      <c r="O24" s="1">
        <v>131.70660000000001</v>
      </c>
      <c r="P24" s="1">
        <v>215.21130000000002</v>
      </c>
      <c r="Q24" s="1">
        <v>67.89</v>
      </c>
      <c r="R24" s="1">
        <v>0</v>
      </c>
      <c r="S24" s="1">
        <v>226.0737</v>
      </c>
      <c r="T24" s="1">
        <v>122.88089999999998</v>
      </c>
      <c r="U24" s="1">
        <v>86.899200000000008</v>
      </c>
      <c r="V24" s="1">
        <v>0</v>
      </c>
      <c r="W24" s="1">
        <v>0</v>
      </c>
      <c r="X24" s="1">
        <v>0</v>
      </c>
      <c r="Y24" s="1">
        <v>0</v>
      </c>
      <c r="Z24" s="1"/>
    </row>
    <row r="25" spans="1:26" x14ac:dyDescent="0.5">
      <c r="A25">
        <v>24</v>
      </c>
      <c r="B25" s="1">
        <v>63.277200000000001</v>
      </c>
      <c r="C25" s="1">
        <v>56.832300000000004</v>
      </c>
      <c r="D25" s="1">
        <v>105.462</v>
      </c>
      <c r="E25" s="1">
        <v>43.3566</v>
      </c>
      <c r="F25" s="1">
        <v>41.598899999999993</v>
      </c>
      <c r="G25" s="1">
        <v>79.682400000000001</v>
      </c>
      <c r="H25" s="1">
        <v>73.237499999999997</v>
      </c>
      <c r="I25" s="1">
        <v>100.18889999999999</v>
      </c>
      <c r="J25" s="1">
        <v>102.5325</v>
      </c>
      <c r="K25" s="1">
        <v>114.25050000000002</v>
      </c>
      <c r="L25" s="1">
        <v>0</v>
      </c>
      <c r="M25" s="1">
        <v>0</v>
      </c>
      <c r="N25" s="1">
        <v>155.26349999999999</v>
      </c>
      <c r="O25" s="1">
        <v>113.66460000000001</v>
      </c>
      <c r="P25" s="1">
        <v>185.7303</v>
      </c>
      <c r="Q25" s="1">
        <v>58.59</v>
      </c>
      <c r="R25" s="1">
        <v>0</v>
      </c>
      <c r="S25" s="1">
        <v>195.10470000000001</v>
      </c>
      <c r="T25" s="1">
        <v>106.04789999999998</v>
      </c>
      <c r="U25" s="1">
        <v>74.995199999999997</v>
      </c>
      <c r="V25" s="1">
        <v>0</v>
      </c>
      <c r="W25" s="1">
        <v>0</v>
      </c>
      <c r="X25" s="1">
        <v>0</v>
      </c>
      <c r="Y25" s="1">
        <v>0</v>
      </c>
      <c r="Z2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771D-F693-4622-A11D-72FC273E283A}">
  <dimension ref="A1:Y35"/>
  <sheetViews>
    <sheetView topLeftCell="D1" zoomScale="70" zoomScaleNormal="70" workbookViewId="0">
      <pane ySplit="1" topLeftCell="A2" activePane="bottomLeft" state="frozen"/>
      <selection pane="bottomLeft" activeCell="B1" sqref="B1:Y1"/>
    </sheetView>
  </sheetViews>
  <sheetFormatPr defaultRowHeight="17.649999999999999" x14ac:dyDescent="0.5"/>
  <sheetData>
    <row r="1" spans="1:25" x14ac:dyDescent="0.5">
      <c r="A1" t="s">
        <v>123</v>
      </c>
      <c r="B1" t="s">
        <v>73</v>
      </c>
      <c r="C1" t="s">
        <v>74</v>
      </c>
      <c r="D1" t="s">
        <v>76</v>
      </c>
      <c r="E1" t="s">
        <v>77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</row>
    <row r="2" spans="1:25" x14ac:dyDescent="0.5">
      <c r="A2" t="s">
        <v>30</v>
      </c>
      <c r="B2">
        <v>1</v>
      </c>
      <c r="C2">
        <v>-1</v>
      </c>
    </row>
    <row r="3" spans="1:25" x14ac:dyDescent="0.5">
      <c r="A3" t="s">
        <v>31</v>
      </c>
      <c r="B3">
        <v>1</v>
      </c>
      <c r="D3">
        <v>-1</v>
      </c>
    </row>
    <row r="4" spans="1:25" x14ac:dyDescent="0.5">
      <c r="A4" t="s">
        <v>32</v>
      </c>
      <c r="B4">
        <v>1</v>
      </c>
      <c r="F4">
        <v>-1</v>
      </c>
    </row>
    <row r="5" spans="1:25" x14ac:dyDescent="0.5">
      <c r="A5" t="s">
        <v>33</v>
      </c>
      <c r="C5">
        <v>1</v>
      </c>
      <c r="E5">
        <v>-1</v>
      </c>
    </row>
    <row r="6" spans="1:25" x14ac:dyDescent="0.5">
      <c r="A6" t="s">
        <v>34</v>
      </c>
      <c r="C6">
        <v>1</v>
      </c>
      <c r="G6">
        <v>-1</v>
      </c>
    </row>
    <row r="7" spans="1:25" x14ac:dyDescent="0.5">
      <c r="A7" t="s">
        <v>35</v>
      </c>
      <c r="D7">
        <v>1</v>
      </c>
      <c r="J7">
        <v>-1</v>
      </c>
    </row>
    <row r="8" spans="1:25" s="19" customFormat="1" x14ac:dyDescent="0.5">
      <c r="A8" s="19" t="s">
        <v>36</v>
      </c>
      <c r="D8" s="19">
        <v>1</v>
      </c>
      <c r="Y8" s="19">
        <v>-1</v>
      </c>
    </row>
    <row r="9" spans="1:25" x14ac:dyDescent="0.5">
      <c r="A9" t="s">
        <v>37</v>
      </c>
      <c r="E9">
        <v>1</v>
      </c>
      <c r="J9">
        <v>-1</v>
      </c>
    </row>
    <row r="10" spans="1:25" x14ac:dyDescent="0.5">
      <c r="A10" t="s">
        <v>38</v>
      </c>
      <c r="F10">
        <v>1</v>
      </c>
      <c r="K10">
        <v>-1</v>
      </c>
    </row>
    <row r="11" spans="1:25" x14ac:dyDescent="0.5">
      <c r="A11" t="s">
        <v>39</v>
      </c>
      <c r="G11">
        <v>1</v>
      </c>
      <c r="K11">
        <v>-1</v>
      </c>
    </row>
    <row r="12" spans="1:25" x14ac:dyDescent="0.5">
      <c r="A12" t="s">
        <v>40</v>
      </c>
      <c r="H12">
        <v>1</v>
      </c>
      <c r="I12">
        <v>-1</v>
      </c>
    </row>
    <row r="13" spans="1:25" x14ac:dyDescent="0.5">
      <c r="A13" t="s">
        <v>41</v>
      </c>
      <c r="I13">
        <v>1</v>
      </c>
      <c r="J13">
        <v>-1</v>
      </c>
    </row>
    <row r="14" spans="1:25" x14ac:dyDescent="0.5">
      <c r="A14" t="s">
        <v>42</v>
      </c>
      <c r="I14">
        <v>1</v>
      </c>
      <c r="K14">
        <v>-1</v>
      </c>
    </row>
    <row r="15" spans="1:25" s="19" customFormat="1" x14ac:dyDescent="0.5">
      <c r="A15" s="19" t="s">
        <v>43</v>
      </c>
      <c r="J15" s="19">
        <v>1</v>
      </c>
      <c r="L15" s="19">
        <v>-1</v>
      </c>
    </row>
    <row r="16" spans="1:25" s="19" customFormat="1" x14ac:dyDescent="0.5">
      <c r="A16" s="19" t="s">
        <v>44</v>
      </c>
      <c r="J16" s="19">
        <v>1</v>
      </c>
      <c r="M16" s="19">
        <v>-1</v>
      </c>
    </row>
    <row r="17" spans="1:25" s="19" customFormat="1" x14ac:dyDescent="0.5">
      <c r="A17" s="19" t="s">
        <v>45</v>
      </c>
      <c r="K17" s="19">
        <v>1</v>
      </c>
      <c r="L17" s="19">
        <v>-1</v>
      </c>
    </row>
    <row r="18" spans="1:25" s="19" customFormat="1" ht="18.600000000000001" customHeight="1" x14ac:dyDescent="0.5">
      <c r="A18" s="19" t="s">
        <v>46</v>
      </c>
      <c r="K18" s="19">
        <v>1</v>
      </c>
      <c r="M18" s="19">
        <v>-1</v>
      </c>
    </row>
    <row r="19" spans="1:25" x14ac:dyDescent="0.5">
      <c r="A19" t="s">
        <v>47</v>
      </c>
      <c r="L19">
        <v>1</v>
      </c>
      <c r="N19">
        <v>-1</v>
      </c>
    </row>
    <row r="20" spans="1:25" x14ac:dyDescent="0.5">
      <c r="A20" t="s">
        <v>48</v>
      </c>
      <c r="L20">
        <v>1</v>
      </c>
      <c r="O20">
        <v>-1</v>
      </c>
    </row>
    <row r="21" spans="1:25" x14ac:dyDescent="0.5">
      <c r="A21" t="s">
        <v>49</v>
      </c>
      <c r="M21">
        <v>1</v>
      </c>
      <c r="N21">
        <v>-1</v>
      </c>
    </row>
    <row r="22" spans="1:25" x14ac:dyDescent="0.5">
      <c r="A22" t="s">
        <v>50</v>
      </c>
      <c r="M22">
        <v>1</v>
      </c>
      <c r="X22">
        <v>-1</v>
      </c>
    </row>
    <row r="23" spans="1:25" x14ac:dyDescent="0.5">
      <c r="A23" t="s">
        <v>51</v>
      </c>
      <c r="N23">
        <v>1</v>
      </c>
      <c r="X23">
        <v>-1</v>
      </c>
    </row>
    <row r="24" spans="1:25" x14ac:dyDescent="0.5">
      <c r="A24" t="s">
        <v>52</v>
      </c>
      <c r="O24">
        <v>1</v>
      </c>
      <c r="Q24">
        <v>-1</v>
      </c>
    </row>
    <row r="25" spans="1:25" x14ac:dyDescent="0.5">
      <c r="A25" t="s">
        <v>53</v>
      </c>
      <c r="P25">
        <v>1</v>
      </c>
      <c r="Q25">
        <v>-1</v>
      </c>
    </row>
    <row r="26" spans="1:25" x14ac:dyDescent="0.5">
      <c r="A26" t="s">
        <v>54</v>
      </c>
      <c r="P26">
        <v>1</v>
      </c>
      <c r="V26">
        <v>-1</v>
      </c>
    </row>
    <row r="27" spans="1:25" x14ac:dyDescent="0.5">
      <c r="A27" t="s">
        <v>55</v>
      </c>
      <c r="P27">
        <v>1</v>
      </c>
      <c r="Y27">
        <v>-1</v>
      </c>
    </row>
    <row r="28" spans="1:25" x14ac:dyDescent="0.5">
      <c r="A28" t="s">
        <v>56</v>
      </c>
      <c r="Q28">
        <v>1</v>
      </c>
      <c r="R28">
        <v>-1</v>
      </c>
    </row>
    <row r="29" spans="1:25" x14ac:dyDescent="0.5">
      <c r="A29" t="s">
        <v>57</v>
      </c>
      <c r="Q29">
        <v>1</v>
      </c>
      <c r="T29">
        <v>-1</v>
      </c>
    </row>
    <row r="30" spans="1:25" x14ac:dyDescent="0.5">
      <c r="A30" t="s">
        <v>58</v>
      </c>
      <c r="R30">
        <v>1</v>
      </c>
      <c r="S30">
        <v>-1</v>
      </c>
    </row>
    <row r="31" spans="1:25" x14ac:dyDescent="0.5">
      <c r="A31" t="s">
        <v>59</v>
      </c>
      <c r="R31">
        <v>1</v>
      </c>
      <c r="W31">
        <v>-1</v>
      </c>
    </row>
    <row r="32" spans="1:25" x14ac:dyDescent="0.5">
      <c r="A32" t="s">
        <v>60</v>
      </c>
      <c r="S32">
        <v>1</v>
      </c>
      <c r="V32">
        <v>-1</v>
      </c>
    </row>
    <row r="33" spans="1:24" x14ac:dyDescent="0.5">
      <c r="A33" t="s">
        <v>61</v>
      </c>
      <c r="T33">
        <v>1</v>
      </c>
      <c r="U33">
        <v>-1</v>
      </c>
    </row>
    <row r="34" spans="1:24" x14ac:dyDescent="0.5">
      <c r="A34" t="s">
        <v>62</v>
      </c>
      <c r="U34">
        <v>1</v>
      </c>
      <c r="X34">
        <v>-1</v>
      </c>
    </row>
    <row r="35" spans="1:24" x14ac:dyDescent="0.5">
      <c r="A35" t="s">
        <v>63</v>
      </c>
      <c r="V35">
        <v>1</v>
      </c>
      <c r="W35">
        <v>-1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131E-E97C-4DD8-A823-DA2596B1B963}">
  <dimension ref="A1:E35"/>
  <sheetViews>
    <sheetView topLeftCell="A2" zoomScale="70" zoomScaleNormal="70" workbookViewId="0">
      <selection activeCell="H35" sqref="H34:H35"/>
    </sheetView>
  </sheetViews>
  <sheetFormatPr defaultRowHeight="17.649999999999999" x14ac:dyDescent="0.5"/>
  <cols>
    <col min="1" max="1" width="8.83984375" style="7"/>
    <col min="2" max="2" width="11.3125" style="7" bestFit="1" customWidth="1"/>
    <col min="3" max="3" width="8.83984375" style="7"/>
    <col min="4" max="4" width="10.734375" customWidth="1"/>
  </cols>
  <sheetData>
    <row r="1" spans="1:5" x14ac:dyDescent="0.5">
      <c r="A1" s="2" t="s">
        <v>123</v>
      </c>
      <c r="B1" s="2" t="s">
        <v>137</v>
      </c>
      <c r="C1" s="7" t="s">
        <v>134</v>
      </c>
      <c r="D1" t="s">
        <v>136</v>
      </c>
      <c r="E1" t="s">
        <v>112</v>
      </c>
    </row>
    <row r="2" spans="1:5" x14ac:dyDescent="0.5">
      <c r="A2" s="2" t="s">
        <v>30</v>
      </c>
      <c r="B2" s="2">
        <v>1.46E-2</v>
      </c>
      <c r="C2" s="2">
        <v>175</v>
      </c>
      <c r="D2">
        <v>138</v>
      </c>
      <c r="E2">
        <f>B2*D2^2/100</f>
        <v>2.780424</v>
      </c>
    </row>
    <row r="3" spans="1:5" x14ac:dyDescent="0.5">
      <c r="A3" s="2" t="s">
        <v>31</v>
      </c>
      <c r="B3" s="2">
        <v>0.2253</v>
      </c>
      <c r="C3" s="2">
        <v>175</v>
      </c>
      <c r="D3">
        <v>138</v>
      </c>
      <c r="E3">
        <f t="shared" ref="E3:E35" si="0">B3*D3^2/100</f>
        <v>42.906131999999999</v>
      </c>
    </row>
    <row r="4" spans="1:5" x14ac:dyDescent="0.5">
      <c r="A4" s="2" t="s">
        <v>32</v>
      </c>
      <c r="B4" s="2">
        <v>9.0700000000000003E-2</v>
      </c>
      <c r="C4" s="2">
        <v>175</v>
      </c>
      <c r="D4">
        <v>138</v>
      </c>
      <c r="E4">
        <f t="shared" si="0"/>
        <v>17.272908000000001</v>
      </c>
    </row>
    <row r="5" spans="1:5" x14ac:dyDescent="0.5">
      <c r="A5" s="2" t="s">
        <v>33</v>
      </c>
      <c r="B5" s="2">
        <v>0.1356</v>
      </c>
      <c r="C5" s="2">
        <v>175</v>
      </c>
      <c r="D5">
        <v>138</v>
      </c>
      <c r="E5">
        <f t="shared" si="0"/>
        <v>25.823663999999997</v>
      </c>
    </row>
    <row r="6" spans="1:5" x14ac:dyDescent="0.5">
      <c r="A6" s="2" t="s">
        <v>34</v>
      </c>
      <c r="B6" s="2">
        <v>0.20499999999999999</v>
      </c>
      <c r="C6" s="2">
        <v>175</v>
      </c>
      <c r="D6">
        <v>138</v>
      </c>
      <c r="E6">
        <f t="shared" si="0"/>
        <v>39.040199999999999</v>
      </c>
    </row>
    <row r="7" spans="1:5" x14ac:dyDescent="0.5">
      <c r="A7" s="2" t="s">
        <v>35</v>
      </c>
      <c r="B7" s="2">
        <v>0.12709999999999999</v>
      </c>
      <c r="C7" s="2">
        <v>175</v>
      </c>
      <c r="D7">
        <v>138</v>
      </c>
      <c r="E7">
        <f t="shared" si="0"/>
        <v>24.204923999999995</v>
      </c>
    </row>
    <row r="8" spans="1:5" x14ac:dyDescent="0.5">
      <c r="A8" s="2" t="s">
        <v>36</v>
      </c>
      <c r="B8" s="8">
        <v>8.4000000000000005E-2</v>
      </c>
      <c r="C8" s="8">
        <v>400</v>
      </c>
      <c r="D8">
        <v>230</v>
      </c>
      <c r="E8">
        <f t="shared" si="0"/>
        <v>44.436000000000007</v>
      </c>
    </row>
    <row r="9" spans="1:5" x14ac:dyDescent="0.5">
      <c r="A9" s="2" t="s">
        <v>37</v>
      </c>
      <c r="B9" s="2">
        <v>0.111</v>
      </c>
      <c r="C9" s="2">
        <v>175</v>
      </c>
      <c r="D9">
        <v>138</v>
      </c>
      <c r="E9">
        <f t="shared" si="0"/>
        <v>21.138840000000002</v>
      </c>
    </row>
    <row r="10" spans="1:5" x14ac:dyDescent="0.5">
      <c r="A10" s="2" t="s">
        <v>38</v>
      </c>
      <c r="B10" s="2">
        <v>9.4E-2</v>
      </c>
      <c r="C10" s="2">
        <v>175</v>
      </c>
      <c r="D10">
        <v>138</v>
      </c>
      <c r="E10">
        <f t="shared" si="0"/>
        <v>17.90136</v>
      </c>
    </row>
    <row r="11" spans="1:5" x14ac:dyDescent="0.5">
      <c r="A11" s="2" t="s">
        <v>39</v>
      </c>
      <c r="B11" s="2">
        <v>6.4199999999999993E-2</v>
      </c>
      <c r="C11" s="2">
        <v>175</v>
      </c>
      <c r="D11">
        <v>138</v>
      </c>
      <c r="E11">
        <f t="shared" si="0"/>
        <v>12.226247999999998</v>
      </c>
    </row>
    <row r="12" spans="1:5" x14ac:dyDescent="0.5">
      <c r="A12" s="2" t="s">
        <v>40</v>
      </c>
      <c r="B12" s="2">
        <v>6.5199999999999994E-2</v>
      </c>
      <c r="C12" s="2">
        <v>175</v>
      </c>
      <c r="D12">
        <v>138</v>
      </c>
      <c r="E12">
        <f t="shared" si="0"/>
        <v>12.416687999999999</v>
      </c>
    </row>
    <row r="13" spans="1:5" x14ac:dyDescent="0.5">
      <c r="A13" s="2" t="s">
        <v>41</v>
      </c>
      <c r="B13" s="2">
        <v>0.1762</v>
      </c>
      <c r="C13" s="2">
        <v>175</v>
      </c>
      <c r="D13">
        <v>138</v>
      </c>
      <c r="E13">
        <f t="shared" si="0"/>
        <v>33.555528000000002</v>
      </c>
    </row>
    <row r="14" spans="1:5" x14ac:dyDescent="0.5">
      <c r="A14" s="2" t="s">
        <v>42</v>
      </c>
      <c r="B14" s="2">
        <v>0.1762</v>
      </c>
      <c r="C14" s="2">
        <v>175</v>
      </c>
      <c r="D14">
        <v>138</v>
      </c>
      <c r="E14">
        <f t="shared" si="0"/>
        <v>33.555528000000002</v>
      </c>
    </row>
    <row r="15" spans="1:5" x14ac:dyDescent="0.5">
      <c r="A15" s="2" t="s">
        <v>43</v>
      </c>
      <c r="B15" s="8">
        <v>8.4000000000000005E-2</v>
      </c>
      <c r="C15" s="8">
        <v>400</v>
      </c>
      <c r="D15">
        <v>230</v>
      </c>
      <c r="E15">
        <f t="shared" si="0"/>
        <v>44.436000000000007</v>
      </c>
    </row>
    <row r="16" spans="1:5" x14ac:dyDescent="0.5">
      <c r="A16" s="2" t="s">
        <v>44</v>
      </c>
      <c r="B16" s="8">
        <v>8.4000000000000005E-2</v>
      </c>
      <c r="C16" s="8">
        <v>400</v>
      </c>
      <c r="D16">
        <v>230</v>
      </c>
      <c r="E16">
        <f t="shared" si="0"/>
        <v>44.436000000000007</v>
      </c>
    </row>
    <row r="17" spans="1:5" x14ac:dyDescent="0.5">
      <c r="A17" s="2" t="s">
        <v>45</v>
      </c>
      <c r="B17" s="8">
        <v>8.4000000000000005E-2</v>
      </c>
      <c r="C17" s="8">
        <v>400</v>
      </c>
      <c r="D17">
        <v>230</v>
      </c>
      <c r="E17">
        <f t="shared" si="0"/>
        <v>44.436000000000007</v>
      </c>
    </row>
    <row r="18" spans="1:5" x14ac:dyDescent="0.5">
      <c r="A18" s="2" t="s">
        <v>46</v>
      </c>
      <c r="B18" s="8">
        <v>8.4000000000000005E-2</v>
      </c>
      <c r="C18" s="8">
        <v>400</v>
      </c>
      <c r="D18">
        <v>230</v>
      </c>
      <c r="E18">
        <f t="shared" si="0"/>
        <v>44.436000000000007</v>
      </c>
    </row>
    <row r="19" spans="1:5" x14ac:dyDescent="0.5">
      <c r="A19" s="2" t="s">
        <v>47</v>
      </c>
      <c r="B19" s="2">
        <v>4.8800000000000003E-2</v>
      </c>
      <c r="C19" s="2">
        <v>500</v>
      </c>
      <c r="D19">
        <v>230</v>
      </c>
      <c r="E19">
        <f t="shared" si="0"/>
        <v>25.815200000000001</v>
      </c>
    </row>
    <row r="20" spans="1:5" x14ac:dyDescent="0.5">
      <c r="A20" s="2" t="s">
        <v>48</v>
      </c>
      <c r="B20" s="2">
        <v>4.2599999999999999E-2</v>
      </c>
      <c r="C20" s="2">
        <v>500</v>
      </c>
      <c r="D20">
        <v>230</v>
      </c>
      <c r="E20">
        <f t="shared" si="0"/>
        <v>22.535399999999999</v>
      </c>
    </row>
    <row r="21" spans="1:5" x14ac:dyDescent="0.5">
      <c r="A21" s="2" t="s">
        <v>49</v>
      </c>
      <c r="B21" s="2">
        <v>4.8800000000000003E-2</v>
      </c>
      <c r="C21" s="2">
        <v>500</v>
      </c>
      <c r="D21">
        <v>230</v>
      </c>
      <c r="E21">
        <f t="shared" si="0"/>
        <v>25.815200000000001</v>
      </c>
    </row>
    <row r="22" spans="1:5" x14ac:dyDescent="0.5">
      <c r="A22" s="2" t="s">
        <v>50</v>
      </c>
      <c r="B22" s="2">
        <v>9.8500000000000004E-2</v>
      </c>
      <c r="C22" s="2">
        <v>500</v>
      </c>
      <c r="D22">
        <v>230</v>
      </c>
      <c r="E22">
        <f t="shared" si="0"/>
        <v>52.106500000000004</v>
      </c>
    </row>
    <row r="23" spans="1:5" x14ac:dyDescent="0.5">
      <c r="A23" s="2" t="s">
        <v>51</v>
      </c>
      <c r="B23" s="2">
        <v>8.8400000000000006E-2</v>
      </c>
      <c r="C23" s="2">
        <v>250</v>
      </c>
      <c r="D23">
        <v>230</v>
      </c>
      <c r="E23">
        <f t="shared" si="0"/>
        <v>46.763600000000004</v>
      </c>
    </row>
    <row r="24" spans="1:5" x14ac:dyDescent="0.5">
      <c r="A24" s="2" t="s">
        <v>52</v>
      </c>
      <c r="B24" s="2">
        <v>5.9400000000000001E-2</v>
      </c>
      <c r="C24" s="2">
        <v>250</v>
      </c>
      <c r="D24">
        <v>230</v>
      </c>
      <c r="E24">
        <f t="shared" si="0"/>
        <v>31.422600000000003</v>
      </c>
    </row>
    <row r="25" spans="1:5" x14ac:dyDescent="0.5">
      <c r="A25" s="2" t="s">
        <v>53</v>
      </c>
      <c r="B25" s="2">
        <v>1.72E-2</v>
      </c>
      <c r="C25" s="2">
        <v>500</v>
      </c>
      <c r="D25">
        <v>230</v>
      </c>
      <c r="E25">
        <f t="shared" si="0"/>
        <v>9.0988000000000007</v>
      </c>
    </row>
    <row r="26" spans="1:5" x14ac:dyDescent="0.5">
      <c r="A26" s="2" t="s">
        <v>54</v>
      </c>
      <c r="B26" s="2">
        <v>2.4899999999999999E-2</v>
      </c>
      <c r="C26" s="2">
        <v>400</v>
      </c>
      <c r="D26">
        <v>230</v>
      </c>
      <c r="E26">
        <f t="shared" si="0"/>
        <v>13.172099999999999</v>
      </c>
    </row>
    <row r="27" spans="1:5" x14ac:dyDescent="0.5">
      <c r="A27" s="2" t="s">
        <v>55</v>
      </c>
      <c r="B27" s="2">
        <v>5.2900000000000003E-2</v>
      </c>
      <c r="C27" s="2">
        <v>500</v>
      </c>
      <c r="D27">
        <v>230</v>
      </c>
      <c r="E27">
        <f t="shared" si="0"/>
        <v>27.984100000000002</v>
      </c>
    </row>
    <row r="28" spans="1:5" x14ac:dyDescent="0.5">
      <c r="A28" s="2" t="s">
        <v>56</v>
      </c>
      <c r="B28" s="2">
        <v>2.63E-2</v>
      </c>
      <c r="C28" s="2">
        <v>500</v>
      </c>
      <c r="D28">
        <v>230</v>
      </c>
      <c r="E28">
        <f t="shared" si="0"/>
        <v>13.912699999999999</v>
      </c>
    </row>
    <row r="29" spans="1:5" x14ac:dyDescent="0.5">
      <c r="A29" s="2" t="s">
        <v>57</v>
      </c>
      <c r="B29" s="2">
        <v>2.3400000000000001E-2</v>
      </c>
      <c r="C29" s="2">
        <v>500</v>
      </c>
      <c r="D29">
        <v>230</v>
      </c>
      <c r="E29">
        <f t="shared" si="0"/>
        <v>12.3786</v>
      </c>
    </row>
    <row r="30" spans="1:5" x14ac:dyDescent="0.5">
      <c r="A30" s="2" t="s">
        <v>58</v>
      </c>
      <c r="B30" s="2">
        <v>1.43E-2</v>
      </c>
      <c r="C30" s="2">
        <v>500</v>
      </c>
      <c r="D30">
        <v>230</v>
      </c>
      <c r="E30">
        <f t="shared" si="0"/>
        <v>7.5647000000000002</v>
      </c>
    </row>
    <row r="31" spans="1:5" x14ac:dyDescent="0.5">
      <c r="A31" s="2" t="s">
        <v>59</v>
      </c>
      <c r="B31" s="2">
        <v>0.1036</v>
      </c>
      <c r="C31" s="2">
        <v>500</v>
      </c>
      <c r="D31">
        <v>230</v>
      </c>
      <c r="E31">
        <f t="shared" si="0"/>
        <v>54.804399999999994</v>
      </c>
    </row>
    <row r="32" spans="1:5" x14ac:dyDescent="0.5">
      <c r="A32" s="2" t="s">
        <v>60</v>
      </c>
      <c r="B32" s="2">
        <v>1.32E-2</v>
      </c>
      <c r="C32" s="2">
        <v>1000</v>
      </c>
      <c r="D32">
        <v>230</v>
      </c>
      <c r="E32">
        <f t="shared" si="0"/>
        <v>6.9828000000000001</v>
      </c>
    </row>
    <row r="33" spans="1:5" x14ac:dyDescent="0.5">
      <c r="A33" s="2" t="s">
        <v>61</v>
      </c>
      <c r="B33" s="2">
        <v>2.0299999999999999E-2</v>
      </c>
      <c r="C33" s="2">
        <v>1000</v>
      </c>
      <c r="D33">
        <v>230</v>
      </c>
      <c r="E33">
        <f t="shared" si="0"/>
        <v>10.7387</v>
      </c>
    </row>
    <row r="34" spans="1:5" x14ac:dyDescent="0.5">
      <c r="A34" s="2" t="s">
        <v>62</v>
      </c>
      <c r="B34" s="2">
        <v>1.12E-2</v>
      </c>
      <c r="C34" s="2">
        <v>1000</v>
      </c>
      <c r="D34">
        <v>230</v>
      </c>
      <c r="E34">
        <f t="shared" si="0"/>
        <v>5.9248000000000003</v>
      </c>
    </row>
    <row r="35" spans="1:5" x14ac:dyDescent="0.5">
      <c r="A35" s="2" t="s">
        <v>63</v>
      </c>
      <c r="B35" s="2">
        <v>6.9199999999999998E-2</v>
      </c>
      <c r="C35" s="2">
        <v>500</v>
      </c>
      <c r="D35">
        <v>230</v>
      </c>
      <c r="E35">
        <f t="shared" si="0"/>
        <v>36.6068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4580-9EA7-45F5-B35E-19BFB3A5A1FA}">
  <dimension ref="A1:Y2"/>
  <sheetViews>
    <sheetView zoomScale="70" zoomScaleNormal="70" workbookViewId="0">
      <selection activeCell="A2" sqref="A2"/>
    </sheetView>
  </sheetViews>
  <sheetFormatPr defaultRowHeight="17.649999999999999" x14ac:dyDescent="0.5"/>
  <sheetData>
    <row r="1" spans="1:25" x14ac:dyDescent="0.5">
      <c r="A1" t="s">
        <v>124</v>
      </c>
      <c r="B1" t="s">
        <v>73</v>
      </c>
      <c r="C1" t="s">
        <v>74</v>
      </c>
      <c r="D1" t="s">
        <v>76</v>
      </c>
      <c r="E1" t="s">
        <v>77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</row>
    <row r="2" spans="1:25" x14ac:dyDescent="0.5">
      <c r="A2" t="s">
        <v>126</v>
      </c>
      <c r="V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3EFF-6018-4790-B300-1A6D73BF322B}">
  <dimension ref="A1:B25"/>
  <sheetViews>
    <sheetView tabSelected="1" workbookViewId="0">
      <selection activeCell="F5" sqref="F5"/>
    </sheetView>
  </sheetViews>
  <sheetFormatPr defaultRowHeight="17.649999999999999" x14ac:dyDescent="0.5"/>
  <sheetData>
    <row r="1" spans="1:2" x14ac:dyDescent="0.5">
      <c r="A1" t="s">
        <v>138</v>
      </c>
      <c r="B1" t="s">
        <v>139</v>
      </c>
    </row>
    <row r="2" spans="1:2" x14ac:dyDescent="0.5">
      <c r="A2" t="s">
        <v>73</v>
      </c>
      <c r="B2">
        <v>1</v>
      </c>
    </row>
    <row r="3" spans="1:2" x14ac:dyDescent="0.5">
      <c r="A3" t="s">
        <v>74</v>
      </c>
      <c r="B3">
        <v>1</v>
      </c>
    </row>
    <row r="4" spans="1:2" x14ac:dyDescent="0.5">
      <c r="A4" t="s">
        <v>76</v>
      </c>
      <c r="B4">
        <v>1</v>
      </c>
    </row>
    <row r="5" spans="1:2" x14ac:dyDescent="0.5">
      <c r="A5" t="s">
        <v>77</v>
      </c>
      <c r="B5">
        <v>1</v>
      </c>
    </row>
    <row r="6" spans="1:2" x14ac:dyDescent="0.5">
      <c r="A6" t="s">
        <v>92</v>
      </c>
      <c r="B6">
        <v>1</v>
      </c>
    </row>
    <row r="7" spans="1:2" x14ac:dyDescent="0.5">
      <c r="A7" t="s">
        <v>93</v>
      </c>
      <c r="B7">
        <v>1</v>
      </c>
    </row>
    <row r="8" spans="1:2" x14ac:dyDescent="0.5">
      <c r="A8" t="s">
        <v>94</v>
      </c>
      <c r="B8">
        <v>1</v>
      </c>
    </row>
    <row r="9" spans="1:2" x14ac:dyDescent="0.5">
      <c r="A9" t="s">
        <v>95</v>
      </c>
      <c r="B9">
        <v>1</v>
      </c>
    </row>
    <row r="10" spans="1:2" x14ac:dyDescent="0.5">
      <c r="A10" t="s">
        <v>96</v>
      </c>
      <c r="B10">
        <v>1</v>
      </c>
    </row>
    <row r="11" spans="1:2" x14ac:dyDescent="0.5">
      <c r="A11" t="s">
        <v>97</v>
      </c>
      <c r="B11">
        <v>1</v>
      </c>
    </row>
    <row r="12" spans="1:2" x14ac:dyDescent="0.5">
      <c r="A12" t="s">
        <v>98</v>
      </c>
      <c r="B12">
        <v>2</v>
      </c>
    </row>
    <row r="13" spans="1:2" x14ac:dyDescent="0.5">
      <c r="A13" t="s">
        <v>99</v>
      </c>
      <c r="B13">
        <v>2</v>
      </c>
    </row>
    <row r="14" spans="1:2" x14ac:dyDescent="0.5">
      <c r="A14" t="s">
        <v>100</v>
      </c>
      <c r="B14">
        <v>2</v>
      </c>
    </row>
    <row r="15" spans="1:2" x14ac:dyDescent="0.5">
      <c r="A15" t="s">
        <v>101</v>
      </c>
      <c r="B15">
        <v>2</v>
      </c>
    </row>
    <row r="16" spans="1:2" x14ac:dyDescent="0.5">
      <c r="A16" t="s">
        <v>102</v>
      </c>
      <c r="B16">
        <v>2</v>
      </c>
    </row>
    <row r="17" spans="1:2" x14ac:dyDescent="0.5">
      <c r="A17" t="s">
        <v>103</v>
      </c>
      <c r="B17">
        <v>2</v>
      </c>
    </row>
    <row r="18" spans="1:2" x14ac:dyDescent="0.5">
      <c r="A18" t="s">
        <v>104</v>
      </c>
      <c r="B18">
        <v>3</v>
      </c>
    </row>
    <row r="19" spans="1:2" x14ac:dyDescent="0.5">
      <c r="A19" t="s">
        <v>105</v>
      </c>
      <c r="B19">
        <v>3</v>
      </c>
    </row>
    <row r="20" spans="1:2" x14ac:dyDescent="0.5">
      <c r="A20" t="s">
        <v>106</v>
      </c>
      <c r="B20">
        <v>2</v>
      </c>
    </row>
    <row r="21" spans="1:2" x14ac:dyDescent="0.5">
      <c r="A21" t="s">
        <v>107</v>
      </c>
      <c r="B21">
        <v>2</v>
      </c>
    </row>
    <row r="22" spans="1:2" x14ac:dyDescent="0.5">
      <c r="A22" t="s">
        <v>108</v>
      </c>
      <c r="B22">
        <v>3</v>
      </c>
    </row>
    <row r="23" spans="1:2" x14ac:dyDescent="0.5">
      <c r="A23" t="s">
        <v>109</v>
      </c>
      <c r="B23">
        <v>3</v>
      </c>
    </row>
    <row r="24" spans="1:2" x14ac:dyDescent="0.5">
      <c r="A24" t="s">
        <v>110</v>
      </c>
      <c r="B24">
        <v>2</v>
      </c>
    </row>
    <row r="25" spans="1:2" x14ac:dyDescent="0.5">
      <c r="A25" t="s">
        <v>111</v>
      </c>
      <c r="B25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F3EC-3DF8-4C7F-A37B-A5F3BFBB32AF}">
  <dimension ref="A1:G2"/>
  <sheetViews>
    <sheetView workbookViewId="0">
      <selection activeCell="C2" sqref="C2"/>
    </sheetView>
  </sheetViews>
  <sheetFormatPr defaultRowHeight="17.649999999999999" x14ac:dyDescent="0.5"/>
  <sheetData>
    <row r="1" spans="1:7" x14ac:dyDescent="0.5">
      <c r="A1" s="2" t="s">
        <v>124</v>
      </c>
      <c r="B1" s="2" t="s">
        <v>65</v>
      </c>
      <c r="C1" s="2" t="s">
        <v>129</v>
      </c>
      <c r="D1" s="2" t="s">
        <v>127</v>
      </c>
      <c r="E1" s="2" t="s">
        <v>128</v>
      </c>
      <c r="F1" s="2" t="s">
        <v>130</v>
      </c>
      <c r="G1" s="2" t="s">
        <v>131</v>
      </c>
    </row>
    <row r="2" spans="1:7" x14ac:dyDescent="0.5">
      <c r="A2" s="2" t="s">
        <v>126</v>
      </c>
      <c r="B2" s="2">
        <v>50</v>
      </c>
      <c r="C2" s="2">
        <v>100</v>
      </c>
      <c r="D2" s="2">
        <v>0.83</v>
      </c>
      <c r="E2" s="2">
        <v>0.85</v>
      </c>
      <c r="F2" s="2">
        <v>0</v>
      </c>
      <c r="G2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0714-482C-44D0-A78F-893C5D291417}">
  <dimension ref="A1:G7"/>
  <sheetViews>
    <sheetView workbookViewId="0">
      <selection activeCell="D13" sqref="D13"/>
    </sheetView>
  </sheetViews>
  <sheetFormatPr defaultRowHeight="17.649999999999999" x14ac:dyDescent="0.5"/>
  <sheetData>
    <row r="1" spans="1:7" x14ac:dyDescent="0.5">
      <c r="A1" s="2" t="s">
        <v>125</v>
      </c>
      <c r="B1" s="2" t="s">
        <v>65</v>
      </c>
      <c r="C1" s="2" t="s">
        <v>84</v>
      </c>
      <c r="D1" s="2"/>
      <c r="E1" s="2"/>
      <c r="F1" s="2"/>
      <c r="G1" s="2"/>
    </row>
    <row r="2" spans="1:7" x14ac:dyDescent="0.5">
      <c r="A2" s="2" t="s">
        <v>113</v>
      </c>
      <c r="B2" s="2">
        <v>200</v>
      </c>
      <c r="C2" s="2">
        <v>0</v>
      </c>
      <c r="D2" s="2"/>
      <c r="E2" s="2"/>
      <c r="F2" s="2"/>
      <c r="G2" s="2"/>
    </row>
    <row r="3" spans="1:7" x14ac:dyDescent="0.5">
      <c r="A3" s="2" t="s">
        <v>114</v>
      </c>
      <c r="B3" s="2">
        <v>200</v>
      </c>
      <c r="C3" s="2">
        <v>0</v>
      </c>
    </row>
    <row r="4" spans="1:7" x14ac:dyDescent="0.5">
      <c r="A4" s="2" t="s">
        <v>115</v>
      </c>
      <c r="B4" s="2">
        <v>200</v>
      </c>
      <c r="C4" s="2">
        <v>0</v>
      </c>
    </row>
    <row r="5" spans="1:7" x14ac:dyDescent="0.5">
      <c r="A5" s="2" t="s">
        <v>116</v>
      </c>
      <c r="B5" s="2">
        <v>200</v>
      </c>
      <c r="C5" s="2">
        <v>0</v>
      </c>
    </row>
    <row r="6" spans="1:7" x14ac:dyDescent="0.5">
      <c r="A6" s="2" t="s">
        <v>117</v>
      </c>
      <c r="B6" s="2">
        <v>200</v>
      </c>
      <c r="C6" s="2">
        <v>0</v>
      </c>
    </row>
    <row r="7" spans="1:7" x14ac:dyDescent="0.5">
      <c r="A7" s="2" t="s">
        <v>118</v>
      </c>
      <c r="B7" s="2">
        <v>200</v>
      </c>
      <c r="C7" s="2">
        <v>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633F-8087-4D94-8562-DBECB98FC935}">
  <dimension ref="A1:I80"/>
  <sheetViews>
    <sheetView topLeftCell="A11" zoomScale="70" zoomScaleNormal="70" workbookViewId="0">
      <selection activeCell="J26" sqref="J26"/>
    </sheetView>
  </sheetViews>
  <sheetFormatPr defaultRowHeight="17.649999999999999" x14ac:dyDescent="0.5"/>
  <cols>
    <col min="3" max="4" width="10" bestFit="1" customWidth="1"/>
  </cols>
  <sheetData>
    <row r="1" spans="1:9" x14ac:dyDescent="0.5">
      <c r="A1" s="15" t="s">
        <v>135</v>
      </c>
      <c r="B1" s="15" t="s">
        <v>113</v>
      </c>
      <c r="C1" s="15" t="s">
        <v>114</v>
      </c>
      <c r="D1" s="15" t="s">
        <v>115</v>
      </c>
      <c r="E1" s="15" t="s">
        <v>116</v>
      </c>
      <c r="F1" s="15" t="s">
        <v>117</v>
      </c>
      <c r="G1" s="15" t="s">
        <v>118</v>
      </c>
      <c r="H1" s="2"/>
      <c r="I1" s="2"/>
    </row>
    <row r="2" spans="1:9" x14ac:dyDescent="0.5">
      <c r="A2" s="16" t="s">
        <v>6</v>
      </c>
      <c r="B2" s="16">
        <f>B30*$I$30</f>
        <v>170.74180000000001</v>
      </c>
      <c r="C2" s="16">
        <f t="shared" ref="C2:G2" si="0">C30*$I$30</f>
        <v>184.27760000000001</v>
      </c>
      <c r="D2" s="16">
        <f t="shared" si="0"/>
        <v>186.22200000000001</v>
      </c>
      <c r="E2" s="16">
        <f t="shared" si="0"/>
        <v>178.45679999999999</v>
      </c>
      <c r="F2" s="16">
        <f t="shared" si="0"/>
        <v>168.24420000000001</v>
      </c>
      <c r="G2" s="16">
        <f t="shared" si="0"/>
        <v>179.6832</v>
      </c>
      <c r="H2">
        <f>SUM(B2:G2)</f>
        <v>1067.6256000000001</v>
      </c>
      <c r="I2">
        <f>H2+1500</f>
        <v>2567.6256000000003</v>
      </c>
    </row>
    <row r="3" spans="1:9" x14ac:dyDescent="0.5">
      <c r="A3" s="16" t="s">
        <v>7</v>
      </c>
      <c r="B3" s="16">
        <f t="shared" ref="B3:B25" si="1">B31*$I$30</f>
        <v>167.6602</v>
      </c>
      <c r="C3" s="16">
        <f t="shared" ref="C3:G3" si="2">C31*$I$30</f>
        <v>182.59559999999999</v>
      </c>
      <c r="D3" s="16">
        <f t="shared" si="2"/>
        <v>186.60000000000002</v>
      </c>
      <c r="E3" s="16">
        <f t="shared" si="2"/>
        <v>180.07919999999999</v>
      </c>
      <c r="F3" s="16">
        <f t="shared" si="2"/>
        <v>170.83320000000001</v>
      </c>
      <c r="G3" s="16">
        <f t="shared" si="2"/>
        <v>180.31539999999998</v>
      </c>
      <c r="H3">
        <f t="shared" ref="H3:H25" si="3">SUM(B3:G3)</f>
        <v>1068.0836000000002</v>
      </c>
      <c r="I3">
        <f t="shared" ref="I3:I25" si="4">H3+1500</f>
        <v>2568.0835999999999</v>
      </c>
    </row>
    <row r="4" spans="1:9" x14ac:dyDescent="0.5">
      <c r="A4" s="16" t="s">
        <v>8</v>
      </c>
      <c r="B4" s="16">
        <f t="shared" si="1"/>
        <v>162.05600000000001</v>
      </c>
      <c r="C4" s="16">
        <f t="shared" ref="C4:G4" si="5">C32*$I$30</f>
        <v>180.2328</v>
      </c>
      <c r="D4" s="16">
        <f t="shared" si="5"/>
        <v>185.74779999999998</v>
      </c>
      <c r="E4" s="16">
        <f t="shared" si="5"/>
        <v>179.58019999999999</v>
      </c>
      <c r="F4" s="16">
        <f t="shared" si="5"/>
        <v>171.0916</v>
      </c>
      <c r="G4" s="16">
        <f t="shared" si="5"/>
        <v>179.3372</v>
      </c>
      <c r="H4">
        <f t="shared" si="3"/>
        <v>1058.0455999999999</v>
      </c>
      <c r="I4">
        <f t="shared" si="4"/>
        <v>2558.0455999999999</v>
      </c>
    </row>
    <row r="5" spans="1:9" x14ac:dyDescent="0.5">
      <c r="A5" s="16" t="s">
        <v>9</v>
      </c>
      <c r="B5" s="16">
        <f t="shared" si="1"/>
        <v>154.22460000000001</v>
      </c>
      <c r="C5" s="16">
        <f t="shared" ref="C5:G5" si="6">C33*$I$30</f>
        <v>176.5164</v>
      </c>
      <c r="D5" s="16">
        <f t="shared" si="6"/>
        <v>184.84179999999998</v>
      </c>
      <c r="E5" s="16">
        <f t="shared" si="6"/>
        <v>179.98740000000001</v>
      </c>
      <c r="F5" s="16">
        <f t="shared" si="6"/>
        <v>172.7354</v>
      </c>
      <c r="G5" s="16">
        <f t="shared" si="6"/>
        <v>178.529</v>
      </c>
      <c r="H5">
        <f t="shared" si="3"/>
        <v>1046.8345999999999</v>
      </c>
      <c r="I5">
        <f t="shared" si="4"/>
        <v>2546.8346000000001</v>
      </c>
    </row>
    <row r="6" spans="1:9" x14ac:dyDescent="0.5">
      <c r="A6" s="16" t="s">
        <v>10</v>
      </c>
      <c r="B6" s="16">
        <f t="shared" si="1"/>
        <v>149.0736</v>
      </c>
      <c r="C6" s="16">
        <f t="shared" ref="C6:G6" si="7">C34*$I$30</f>
        <v>171.68460000000002</v>
      </c>
      <c r="D6" s="16">
        <f t="shared" si="7"/>
        <v>183.215</v>
      </c>
      <c r="E6" s="16">
        <f t="shared" si="7"/>
        <v>180.2192</v>
      </c>
      <c r="F6" s="16">
        <f t="shared" si="7"/>
        <v>174.06100000000001</v>
      </c>
      <c r="G6" s="16">
        <f t="shared" si="7"/>
        <v>177.21620000000001</v>
      </c>
      <c r="H6">
        <f t="shared" si="3"/>
        <v>1035.4696000000001</v>
      </c>
      <c r="I6">
        <f t="shared" si="4"/>
        <v>2535.4696000000004</v>
      </c>
    </row>
    <row r="7" spans="1:9" x14ac:dyDescent="0.5">
      <c r="A7" s="16" t="s">
        <v>11</v>
      </c>
      <c r="B7" s="16">
        <f t="shared" si="1"/>
        <v>144.3468</v>
      </c>
      <c r="C7" s="16">
        <f t="shared" ref="C7:G7" si="8">C35*$I$30</f>
        <v>163.97800000000001</v>
      </c>
      <c r="D7" s="16">
        <f t="shared" si="8"/>
        <v>180.61179999999999</v>
      </c>
      <c r="E7" s="16">
        <f t="shared" si="8"/>
        <v>179.78639999999999</v>
      </c>
      <c r="F7" s="16">
        <f t="shared" si="8"/>
        <v>174.49460000000002</v>
      </c>
      <c r="G7" s="16">
        <f t="shared" si="8"/>
        <v>174.61580000000001</v>
      </c>
      <c r="H7">
        <f t="shared" si="3"/>
        <v>1017.8334</v>
      </c>
      <c r="I7">
        <f t="shared" si="4"/>
        <v>2517.8334</v>
      </c>
    </row>
    <row r="8" spans="1:9" x14ac:dyDescent="0.5">
      <c r="A8" s="16" t="s">
        <v>12</v>
      </c>
      <c r="B8" s="16">
        <f t="shared" si="1"/>
        <v>138.12479999999999</v>
      </c>
      <c r="C8" s="16">
        <f t="shared" ref="C8:G8" si="9">C36*$I$30</f>
        <v>158.01639999999998</v>
      </c>
      <c r="D8" s="16">
        <f t="shared" si="9"/>
        <v>176.98560000000001</v>
      </c>
      <c r="E8" s="16">
        <f t="shared" si="9"/>
        <v>177.82899999999998</v>
      </c>
      <c r="F8" s="16">
        <f t="shared" si="9"/>
        <v>172.30279999999999</v>
      </c>
      <c r="G8" s="16">
        <f t="shared" si="9"/>
        <v>171.18459999999999</v>
      </c>
      <c r="H8">
        <f t="shared" si="3"/>
        <v>994.44319999999993</v>
      </c>
      <c r="I8">
        <f t="shared" si="4"/>
        <v>2494.4431999999997</v>
      </c>
    </row>
    <row r="9" spans="1:9" x14ac:dyDescent="0.5">
      <c r="A9" s="16" t="s">
        <v>13</v>
      </c>
      <c r="B9" s="16">
        <f t="shared" si="1"/>
        <v>133.14159999999998</v>
      </c>
      <c r="C9" s="16">
        <f t="shared" ref="C9:G9" si="10">C37*$I$30</f>
        <v>155.72839999999999</v>
      </c>
      <c r="D9" s="16">
        <f t="shared" si="10"/>
        <v>171.965</v>
      </c>
      <c r="E9" s="16">
        <f t="shared" si="10"/>
        <v>173.35739999999998</v>
      </c>
      <c r="F9" s="16">
        <f t="shared" si="10"/>
        <v>163.45860000000002</v>
      </c>
      <c r="G9" s="16">
        <f t="shared" si="10"/>
        <v>166.279</v>
      </c>
      <c r="H9">
        <f t="shared" si="3"/>
        <v>963.93000000000006</v>
      </c>
      <c r="I9">
        <f t="shared" si="4"/>
        <v>2463.9300000000003</v>
      </c>
    </row>
    <row r="10" spans="1:9" x14ac:dyDescent="0.5">
      <c r="A10" s="16" t="s">
        <v>14</v>
      </c>
      <c r="B10" s="16">
        <f t="shared" si="1"/>
        <v>132.887</v>
      </c>
      <c r="C10" s="16">
        <f t="shared" ref="C10:G10" si="11">C38*$I$30</f>
        <v>153.1096</v>
      </c>
      <c r="D10" s="16">
        <f t="shared" si="11"/>
        <v>167.33080000000001</v>
      </c>
      <c r="E10" s="16">
        <f t="shared" si="11"/>
        <v>167.69559999999998</v>
      </c>
      <c r="F10" s="16">
        <f t="shared" si="11"/>
        <v>143.76839999999999</v>
      </c>
      <c r="G10" s="16">
        <f t="shared" si="11"/>
        <v>159.08459999999999</v>
      </c>
      <c r="H10">
        <f t="shared" si="3"/>
        <v>923.87600000000009</v>
      </c>
      <c r="I10">
        <f t="shared" si="4"/>
        <v>2423.8760000000002</v>
      </c>
    </row>
    <row r="11" spans="1:9" x14ac:dyDescent="0.5">
      <c r="A11" s="16" t="s">
        <v>15</v>
      </c>
      <c r="B11" s="16">
        <f t="shared" si="1"/>
        <v>131.13239999999999</v>
      </c>
      <c r="C11" s="16">
        <f t="shared" ref="C11:G11" si="12">C39*$I$30</f>
        <v>147.3674</v>
      </c>
      <c r="D11" s="16">
        <f t="shared" si="12"/>
        <v>161.39400000000001</v>
      </c>
      <c r="E11" s="16">
        <f t="shared" si="12"/>
        <v>155.69980000000001</v>
      </c>
      <c r="F11" s="16">
        <f t="shared" si="12"/>
        <v>116.4876</v>
      </c>
      <c r="G11" s="16">
        <f t="shared" si="12"/>
        <v>147.38919999999999</v>
      </c>
      <c r="H11">
        <f t="shared" si="3"/>
        <v>859.47040000000004</v>
      </c>
      <c r="I11">
        <f t="shared" si="4"/>
        <v>2359.4704000000002</v>
      </c>
    </row>
    <row r="12" spans="1:9" x14ac:dyDescent="0.5">
      <c r="A12" s="16" t="s">
        <v>16</v>
      </c>
      <c r="B12" s="16">
        <f t="shared" si="1"/>
        <v>134.67400000000001</v>
      </c>
      <c r="C12" s="16">
        <f t="shared" ref="C12:G12" si="13">C40*$I$30</f>
        <v>142.14180000000002</v>
      </c>
      <c r="D12" s="16">
        <f t="shared" si="13"/>
        <v>154.0412</v>
      </c>
      <c r="E12" s="16">
        <f t="shared" si="13"/>
        <v>143.208</v>
      </c>
      <c r="F12" s="16">
        <f t="shared" si="13"/>
        <v>88.690399999999997</v>
      </c>
      <c r="G12" s="16">
        <f t="shared" si="13"/>
        <v>135.31640000000002</v>
      </c>
      <c r="H12">
        <f t="shared" si="3"/>
        <v>798.07180000000005</v>
      </c>
      <c r="I12">
        <f t="shared" si="4"/>
        <v>2298.0718000000002</v>
      </c>
    </row>
    <row r="13" spans="1:9" x14ac:dyDescent="0.5">
      <c r="A13" s="16" t="s">
        <v>17</v>
      </c>
      <c r="B13" s="16">
        <f t="shared" si="1"/>
        <v>130.71980000000002</v>
      </c>
      <c r="C13" s="16">
        <f t="shared" ref="C13:G13" si="14">C41*$I$30</f>
        <v>141.14699999999999</v>
      </c>
      <c r="D13" s="16">
        <f t="shared" si="14"/>
        <v>149.4134</v>
      </c>
      <c r="E13" s="16">
        <f t="shared" si="14"/>
        <v>124.0094</v>
      </c>
      <c r="F13" s="16">
        <f t="shared" si="14"/>
        <v>60.303200000000004</v>
      </c>
      <c r="G13" s="16">
        <f t="shared" si="14"/>
        <v>122.53179999999999</v>
      </c>
      <c r="H13">
        <f t="shared" si="3"/>
        <v>728.1246000000001</v>
      </c>
      <c r="I13">
        <f t="shared" si="4"/>
        <v>2228.1246000000001</v>
      </c>
    </row>
    <row r="14" spans="1:9" x14ac:dyDescent="0.5">
      <c r="A14" s="16" t="s">
        <v>18</v>
      </c>
      <c r="B14" s="16">
        <f t="shared" si="1"/>
        <v>103.40199999999999</v>
      </c>
      <c r="C14" s="16">
        <f t="shared" ref="C14:G14" si="15">C42*$I$30</f>
        <v>140.29499999999999</v>
      </c>
      <c r="D14" s="16">
        <f t="shared" si="15"/>
        <v>145.4288</v>
      </c>
      <c r="E14" s="16">
        <f t="shared" si="15"/>
        <v>94.140999999999991</v>
      </c>
      <c r="F14" s="16">
        <f t="shared" si="15"/>
        <v>32.936</v>
      </c>
      <c r="G14" s="16">
        <f t="shared" si="15"/>
        <v>106.31580000000001</v>
      </c>
      <c r="H14">
        <f t="shared" si="3"/>
        <v>622.51859999999999</v>
      </c>
      <c r="I14">
        <f t="shared" si="4"/>
        <v>2122.5185999999999</v>
      </c>
    </row>
    <row r="15" spans="1:9" x14ac:dyDescent="0.5">
      <c r="A15" s="16" t="s">
        <v>19</v>
      </c>
      <c r="B15" s="16">
        <f t="shared" si="1"/>
        <v>81.033999999999992</v>
      </c>
      <c r="C15" s="16">
        <f t="shared" ref="C15:G15" si="16">C43*$I$30</f>
        <v>143.10739999999998</v>
      </c>
      <c r="D15" s="16">
        <f t="shared" si="16"/>
        <v>142.71940000000001</v>
      </c>
      <c r="E15" s="16">
        <f t="shared" si="16"/>
        <v>73.851199999999992</v>
      </c>
      <c r="F15" s="16">
        <f t="shared" si="16"/>
        <v>39.692599999999999</v>
      </c>
      <c r="G15" s="16">
        <f t="shared" si="16"/>
        <v>97.026199999999989</v>
      </c>
      <c r="H15">
        <f t="shared" si="3"/>
        <v>577.43079999999998</v>
      </c>
      <c r="I15">
        <f t="shared" si="4"/>
        <v>2077.4308000000001</v>
      </c>
    </row>
    <row r="16" spans="1:9" x14ac:dyDescent="0.5">
      <c r="A16" s="16" t="s">
        <v>20</v>
      </c>
      <c r="B16" s="16">
        <f t="shared" si="1"/>
        <v>53.302400000000006</v>
      </c>
      <c r="C16" s="16">
        <f t="shared" ref="C16:G16" si="17">C44*$I$30</f>
        <v>144.85760000000002</v>
      </c>
      <c r="D16" s="16">
        <f t="shared" si="17"/>
        <v>141.52800000000002</v>
      </c>
      <c r="E16" s="16">
        <f t="shared" si="17"/>
        <v>52.739599999999996</v>
      </c>
      <c r="F16" s="16">
        <f t="shared" si="17"/>
        <v>33.692999999999998</v>
      </c>
      <c r="G16" s="16">
        <f t="shared" si="17"/>
        <v>88.837000000000003</v>
      </c>
      <c r="H16">
        <f t="shared" si="3"/>
        <v>514.95760000000007</v>
      </c>
      <c r="I16">
        <f t="shared" si="4"/>
        <v>2014.9576000000002</v>
      </c>
    </row>
    <row r="17" spans="1:9" x14ac:dyDescent="0.5">
      <c r="A17" s="16" t="s">
        <v>21</v>
      </c>
      <c r="B17" s="16">
        <f t="shared" si="1"/>
        <v>34.809600000000003</v>
      </c>
      <c r="C17" s="16">
        <f t="shared" ref="C17:G17" si="18">C45*$I$30</f>
        <v>134.52080000000001</v>
      </c>
      <c r="D17" s="16">
        <f t="shared" si="18"/>
        <v>141.76</v>
      </c>
      <c r="E17" s="16">
        <f t="shared" si="18"/>
        <v>34.180199999999999</v>
      </c>
      <c r="F17" s="16">
        <f t="shared" si="18"/>
        <v>46.7776</v>
      </c>
      <c r="G17" s="16">
        <f t="shared" si="18"/>
        <v>78.932400000000001</v>
      </c>
      <c r="H17">
        <f t="shared" si="3"/>
        <v>470.98059999999998</v>
      </c>
      <c r="I17">
        <f t="shared" si="4"/>
        <v>1970.9805999999999</v>
      </c>
    </row>
    <row r="18" spans="1:9" x14ac:dyDescent="0.5">
      <c r="A18" s="16" t="s">
        <v>22</v>
      </c>
      <c r="B18" s="16">
        <f t="shared" si="1"/>
        <v>30.381000000000004</v>
      </c>
      <c r="C18" s="16">
        <f t="shared" ref="C18:G18" si="19">C46*$I$30</f>
        <v>117.94500000000001</v>
      </c>
      <c r="D18" s="16">
        <f t="shared" si="19"/>
        <v>129.4564</v>
      </c>
      <c r="E18" s="16">
        <f t="shared" si="19"/>
        <v>38.470399999999998</v>
      </c>
      <c r="F18" s="16">
        <f t="shared" si="19"/>
        <v>41.793400000000005</v>
      </c>
      <c r="G18" s="16">
        <f t="shared" si="19"/>
        <v>66.032800000000009</v>
      </c>
      <c r="H18">
        <f t="shared" si="3"/>
        <v>424.07900000000006</v>
      </c>
      <c r="I18">
        <f t="shared" si="4"/>
        <v>1924.0790000000002</v>
      </c>
    </row>
    <row r="19" spans="1:9" x14ac:dyDescent="0.5">
      <c r="A19" s="16" t="s">
        <v>23</v>
      </c>
      <c r="B19" s="16">
        <f t="shared" si="1"/>
        <v>38.814999999999998</v>
      </c>
      <c r="C19" s="16">
        <f t="shared" ref="C19:G19" si="20">C47*$I$30</f>
        <v>108.60939999999999</v>
      </c>
      <c r="D19" s="16">
        <f t="shared" si="20"/>
        <v>97.997799999999998</v>
      </c>
      <c r="E19" s="16">
        <f t="shared" si="20"/>
        <v>30.001200000000001</v>
      </c>
      <c r="F19" s="16">
        <f t="shared" si="20"/>
        <v>40.942399999999999</v>
      </c>
      <c r="G19" s="16">
        <f t="shared" si="20"/>
        <v>53.514399999999995</v>
      </c>
      <c r="H19">
        <f t="shared" si="3"/>
        <v>369.88019999999995</v>
      </c>
      <c r="I19">
        <f t="shared" si="4"/>
        <v>1869.8802000000001</v>
      </c>
    </row>
    <row r="20" spans="1:9" x14ac:dyDescent="0.5">
      <c r="A20" s="16" t="s">
        <v>24</v>
      </c>
      <c r="B20" s="16">
        <f t="shared" si="1"/>
        <v>48.037199999999999</v>
      </c>
      <c r="C20" s="16">
        <f t="shared" ref="C20:G20" si="21">C48*$I$30</f>
        <v>110.04719999999999</v>
      </c>
      <c r="D20" s="16">
        <f t="shared" si="21"/>
        <v>57.293799999999997</v>
      </c>
      <c r="E20" s="16">
        <f t="shared" si="21"/>
        <v>48.777200000000001</v>
      </c>
      <c r="F20" s="16">
        <f t="shared" si="21"/>
        <v>44.588000000000001</v>
      </c>
      <c r="G20" s="16">
        <f t="shared" si="21"/>
        <v>44.4634</v>
      </c>
      <c r="H20">
        <f t="shared" si="3"/>
        <v>353.20679999999999</v>
      </c>
      <c r="I20">
        <f t="shared" si="4"/>
        <v>1853.2067999999999</v>
      </c>
    </row>
    <row r="21" spans="1:9" x14ac:dyDescent="0.5">
      <c r="A21" s="16" t="s">
        <v>25</v>
      </c>
      <c r="B21" s="16">
        <f t="shared" si="1"/>
        <v>55.111600000000003</v>
      </c>
      <c r="C21" s="16">
        <f t="shared" ref="C21:G21" si="22">C49*$I$30</f>
        <v>113.29340000000001</v>
      </c>
      <c r="D21" s="16">
        <f t="shared" si="22"/>
        <v>30.484999999999999</v>
      </c>
      <c r="E21" s="16">
        <f t="shared" si="22"/>
        <v>31.568800000000003</v>
      </c>
      <c r="F21" s="16">
        <f t="shared" si="22"/>
        <v>34.282600000000002</v>
      </c>
      <c r="G21" s="16">
        <f t="shared" si="22"/>
        <v>41.56</v>
      </c>
      <c r="H21">
        <f t="shared" si="3"/>
        <v>306.3014</v>
      </c>
      <c r="I21">
        <f t="shared" si="4"/>
        <v>1806.3014000000001</v>
      </c>
    </row>
    <row r="22" spans="1:9" x14ac:dyDescent="0.5">
      <c r="A22" s="16" t="s">
        <v>26</v>
      </c>
      <c r="B22" s="16">
        <f t="shared" si="1"/>
        <v>64.229600000000005</v>
      </c>
      <c r="C22" s="16">
        <f t="shared" ref="C22:G22" si="23">C50*$I$30</f>
        <v>121.29939999999999</v>
      </c>
      <c r="D22" s="16">
        <f t="shared" si="23"/>
        <v>39.434999999999995</v>
      </c>
      <c r="E22" s="16">
        <f t="shared" si="23"/>
        <v>33.196999999999996</v>
      </c>
      <c r="F22" s="16">
        <f t="shared" si="23"/>
        <v>24.8978</v>
      </c>
      <c r="G22" s="16">
        <f t="shared" si="23"/>
        <v>43.435200000000002</v>
      </c>
      <c r="H22">
        <f t="shared" si="3"/>
        <v>326.49400000000003</v>
      </c>
      <c r="I22">
        <f t="shared" si="4"/>
        <v>1826.4940000000001</v>
      </c>
    </row>
    <row r="23" spans="1:9" x14ac:dyDescent="0.5">
      <c r="A23" s="16" t="s">
        <v>27</v>
      </c>
      <c r="B23" s="16">
        <f t="shared" si="1"/>
        <v>80.589999999999989</v>
      </c>
      <c r="C23" s="16">
        <f t="shared" ref="C23:G23" si="24">C51*$I$30</f>
        <v>134.46860000000001</v>
      </c>
      <c r="D23" s="16">
        <f t="shared" si="24"/>
        <v>20.325199999999999</v>
      </c>
      <c r="E23" s="16">
        <f t="shared" si="24"/>
        <v>33.646999999999998</v>
      </c>
      <c r="F23" s="16">
        <f t="shared" si="24"/>
        <v>28.357800000000001</v>
      </c>
      <c r="G23" s="16">
        <f t="shared" si="24"/>
        <v>47.853400000000001</v>
      </c>
      <c r="H23">
        <f t="shared" si="3"/>
        <v>345.24200000000002</v>
      </c>
      <c r="I23">
        <f t="shared" si="4"/>
        <v>1845.242</v>
      </c>
    </row>
    <row r="24" spans="1:9" x14ac:dyDescent="0.5">
      <c r="A24" s="16" t="s">
        <v>28</v>
      </c>
      <c r="B24" s="16">
        <f t="shared" si="1"/>
        <v>99.496600000000001</v>
      </c>
      <c r="C24" s="16">
        <f t="shared" ref="C24:G24" si="25">C52*$I$30</f>
        <v>151.8408</v>
      </c>
      <c r="D24" s="16">
        <f t="shared" si="25"/>
        <v>33.175800000000002</v>
      </c>
      <c r="E24" s="16">
        <f t="shared" si="25"/>
        <v>35.683799999999998</v>
      </c>
      <c r="F24" s="16">
        <f t="shared" si="25"/>
        <v>26.63</v>
      </c>
      <c r="G24" s="16">
        <f t="shared" si="25"/>
        <v>55.749600000000001</v>
      </c>
      <c r="H24">
        <f t="shared" si="3"/>
        <v>402.57659999999998</v>
      </c>
      <c r="I24">
        <f t="shared" si="4"/>
        <v>1902.5765999999999</v>
      </c>
    </row>
    <row r="25" spans="1:9" x14ac:dyDescent="0.5">
      <c r="A25" s="16" t="s">
        <v>29</v>
      </c>
      <c r="B25" s="16">
        <f t="shared" si="1"/>
        <v>119.70359999999999</v>
      </c>
      <c r="C25" s="16">
        <f t="shared" ref="C25:G25" si="26">C53*$I$30</f>
        <v>162.72480000000002</v>
      </c>
      <c r="D25" s="16">
        <f t="shared" si="26"/>
        <v>58.348399999999998</v>
      </c>
      <c r="E25" s="16">
        <f t="shared" si="26"/>
        <v>24.581199999999999</v>
      </c>
      <c r="F25" s="16">
        <f t="shared" si="26"/>
        <v>26.246399999999998</v>
      </c>
      <c r="G25" s="16">
        <f t="shared" si="26"/>
        <v>67.539199999999994</v>
      </c>
      <c r="H25">
        <f t="shared" si="3"/>
        <v>459.14359999999999</v>
      </c>
      <c r="I25">
        <f t="shared" si="4"/>
        <v>1959.1435999999999</v>
      </c>
    </row>
    <row r="27" spans="1:9" x14ac:dyDescent="0.5">
      <c r="A27" t="s">
        <v>75</v>
      </c>
      <c r="D27" t="s">
        <v>119</v>
      </c>
    </row>
    <row r="29" spans="1:9" x14ac:dyDescent="0.5">
      <c r="A29" s="18" t="s">
        <v>135</v>
      </c>
      <c r="B29" s="18" t="s">
        <v>113</v>
      </c>
      <c r="C29" s="18" t="s">
        <v>114</v>
      </c>
      <c r="D29" s="18" t="s">
        <v>115</v>
      </c>
      <c r="E29" s="18" t="s">
        <v>116</v>
      </c>
      <c r="F29" s="18" t="s">
        <v>117</v>
      </c>
      <c r="G29" s="18" t="s">
        <v>118</v>
      </c>
      <c r="I29" t="s">
        <v>64</v>
      </c>
    </row>
    <row r="30" spans="1:9" x14ac:dyDescent="0.5">
      <c r="A30" s="16" t="s">
        <v>6</v>
      </c>
      <c r="B30" s="17">
        <v>0.85370900000000005</v>
      </c>
      <c r="C30" s="17">
        <v>0.92138799999999998</v>
      </c>
      <c r="D30" s="17">
        <v>0.93110999999999999</v>
      </c>
      <c r="E30" s="17">
        <v>0.89228399999999997</v>
      </c>
      <c r="F30" s="17">
        <v>0.841221</v>
      </c>
      <c r="G30" s="17">
        <v>0.89841599999999999</v>
      </c>
      <c r="I30">
        <v>200</v>
      </c>
    </row>
    <row r="31" spans="1:9" x14ac:dyDescent="0.5">
      <c r="A31" s="16" t="s">
        <v>7</v>
      </c>
      <c r="B31" s="17">
        <v>0.83830099999999996</v>
      </c>
      <c r="C31" s="17">
        <v>0.91297799999999996</v>
      </c>
      <c r="D31" s="17">
        <v>0.93300000000000005</v>
      </c>
      <c r="E31" s="17">
        <v>0.90039599999999997</v>
      </c>
      <c r="F31" s="17">
        <v>0.85416599999999998</v>
      </c>
      <c r="G31" s="17">
        <v>0.90157699999999996</v>
      </c>
    </row>
    <row r="32" spans="1:9" x14ac:dyDescent="0.5">
      <c r="A32" s="16" t="s">
        <v>8</v>
      </c>
      <c r="B32" s="17">
        <v>0.81028</v>
      </c>
      <c r="C32" s="17">
        <v>0.90116399999999997</v>
      </c>
      <c r="D32" s="17">
        <v>0.92873899999999998</v>
      </c>
      <c r="E32" s="17">
        <v>0.89790099999999995</v>
      </c>
      <c r="F32" s="17">
        <v>0.85545800000000005</v>
      </c>
      <c r="G32" s="17">
        <v>0.89668599999999998</v>
      </c>
    </row>
    <row r="33" spans="1:7" x14ac:dyDescent="0.5">
      <c r="A33" s="16" t="s">
        <v>9</v>
      </c>
      <c r="B33" s="17">
        <v>0.771123</v>
      </c>
      <c r="C33" s="17">
        <v>0.88258199999999998</v>
      </c>
      <c r="D33" s="17">
        <v>0.92420899999999995</v>
      </c>
      <c r="E33" s="17">
        <v>0.89993699999999999</v>
      </c>
      <c r="F33" s="17">
        <v>0.86367700000000003</v>
      </c>
      <c r="G33" s="17">
        <v>0.89264500000000002</v>
      </c>
    </row>
    <row r="34" spans="1:7" x14ac:dyDescent="0.5">
      <c r="A34" s="16" t="s">
        <v>10</v>
      </c>
      <c r="B34" s="17">
        <v>0.74536800000000003</v>
      </c>
      <c r="C34" s="17">
        <v>0.85842300000000005</v>
      </c>
      <c r="D34" s="17">
        <v>0.91607499999999997</v>
      </c>
      <c r="E34" s="17">
        <v>0.90109600000000001</v>
      </c>
      <c r="F34" s="17">
        <v>0.870305</v>
      </c>
      <c r="G34" s="17">
        <v>0.88608100000000001</v>
      </c>
    </row>
    <row r="35" spans="1:7" x14ac:dyDescent="0.5">
      <c r="A35" s="16" t="s">
        <v>11</v>
      </c>
      <c r="B35" s="17">
        <v>0.72173399999999999</v>
      </c>
      <c r="C35" s="17">
        <v>0.81989000000000001</v>
      </c>
      <c r="D35" s="17">
        <v>0.90305899999999995</v>
      </c>
      <c r="E35" s="17">
        <v>0.89893199999999995</v>
      </c>
      <c r="F35" s="17">
        <v>0.87247300000000005</v>
      </c>
      <c r="G35" s="17">
        <v>0.87307900000000005</v>
      </c>
    </row>
    <row r="36" spans="1:7" x14ac:dyDescent="0.5">
      <c r="A36" s="16" t="s">
        <v>12</v>
      </c>
      <c r="B36" s="17">
        <v>0.69062400000000002</v>
      </c>
      <c r="C36" s="17">
        <v>0.79008199999999995</v>
      </c>
      <c r="D36" s="17">
        <v>0.88492800000000005</v>
      </c>
      <c r="E36" s="17">
        <v>0.88914499999999996</v>
      </c>
      <c r="F36" s="17">
        <v>0.861514</v>
      </c>
      <c r="G36" s="17">
        <v>0.85592299999999999</v>
      </c>
    </row>
    <row r="37" spans="1:7" x14ac:dyDescent="0.5">
      <c r="A37" s="16" t="s">
        <v>13</v>
      </c>
      <c r="B37" s="17">
        <v>0.66570799999999997</v>
      </c>
      <c r="C37" s="17">
        <v>0.77864199999999995</v>
      </c>
      <c r="D37" s="17">
        <v>0.85982499999999995</v>
      </c>
      <c r="E37" s="17">
        <v>0.86678699999999997</v>
      </c>
      <c r="F37" s="17">
        <v>0.81729300000000005</v>
      </c>
      <c r="G37" s="17">
        <v>0.831395</v>
      </c>
    </row>
    <row r="38" spans="1:7" x14ac:dyDescent="0.5">
      <c r="A38" s="16" t="s">
        <v>14</v>
      </c>
      <c r="B38" s="17">
        <v>0.664435</v>
      </c>
      <c r="C38" s="17">
        <v>0.76554800000000001</v>
      </c>
      <c r="D38" s="17">
        <v>0.83665400000000001</v>
      </c>
      <c r="E38" s="17">
        <v>0.83847799999999995</v>
      </c>
      <c r="F38" s="17">
        <v>0.71884199999999998</v>
      </c>
      <c r="G38" s="17">
        <v>0.79542299999999999</v>
      </c>
    </row>
    <row r="39" spans="1:7" x14ac:dyDescent="0.5">
      <c r="A39" s="16" t="s">
        <v>15</v>
      </c>
      <c r="B39" s="17">
        <v>0.65566199999999997</v>
      </c>
      <c r="C39" s="17">
        <v>0.73683699999999996</v>
      </c>
      <c r="D39" s="17">
        <v>0.80696999999999997</v>
      </c>
      <c r="E39" s="17">
        <v>0.77849900000000005</v>
      </c>
      <c r="F39" s="17">
        <v>0.58243800000000001</v>
      </c>
      <c r="G39" s="17">
        <v>0.73694599999999999</v>
      </c>
    </row>
    <row r="40" spans="1:7" x14ac:dyDescent="0.5">
      <c r="A40" s="16" t="s">
        <v>16</v>
      </c>
      <c r="B40" s="17">
        <v>0.67337000000000002</v>
      </c>
      <c r="C40" s="17">
        <v>0.71070900000000004</v>
      </c>
      <c r="D40" s="17">
        <v>0.77020599999999995</v>
      </c>
      <c r="E40" s="17">
        <v>0.71604000000000001</v>
      </c>
      <c r="F40" s="17">
        <v>0.44345200000000001</v>
      </c>
      <c r="G40" s="17">
        <v>0.67658200000000002</v>
      </c>
    </row>
    <row r="41" spans="1:7" x14ac:dyDescent="0.5">
      <c r="A41" s="16" t="s">
        <v>17</v>
      </c>
      <c r="B41" s="17">
        <v>0.65359900000000004</v>
      </c>
      <c r="C41" s="17">
        <v>0.705735</v>
      </c>
      <c r="D41" s="17">
        <v>0.74706700000000004</v>
      </c>
      <c r="E41" s="17">
        <v>0.62004700000000001</v>
      </c>
      <c r="F41" s="17">
        <v>0.30151600000000001</v>
      </c>
      <c r="G41" s="17">
        <v>0.61265899999999995</v>
      </c>
    </row>
    <row r="42" spans="1:7" x14ac:dyDescent="0.5">
      <c r="A42" s="16" t="s">
        <v>18</v>
      </c>
      <c r="B42" s="17">
        <v>0.51700999999999997</v>
      </c>
      <c r="C42" s="17">
        <v>0.70147499999999996</v>
      </c>
      <c r="D42" s="17">
        <v>0.72714400000000001</v>
      </c>
      <c r="E42" s="17">
        <v>0.47070499999999998</v>
      </c>
      <c r="F42" s="17">
        <v>0.16467999999999999</v>
      </c>
      <c r="G42" s="17">
        <v>0.53157900000000002</v>
      </c>
    </row>
    <row r="43" spans="1:7" x14ac:dyDescent="0.5">
      <c r="A43" s="16" t="s">
        <v>19</v>
      </c>
      <c r="B43" s="17">
        <v>0.40516999999999997</v>
      </c>
      <c r="C43" s="17">
        <v>0.71553699999999998</v>
      </c>
      <c r="D43" s="17">
        <v>0.71359700000000004</v>
      </c>
      <c r="E43" s="17">
        <v>0.36925599999999997</v>
      </c>
      <c r="F43" s="17">
        <v>0.198463</v>
      </c>
      <c r="G43" s="17">
        <v>0.48513099999999998</v>
      </c>
    </row>
    <row r="44" spans="1:7" x14ac:dyDescent="0.5">
      <c r="A44" s="16" t="s">
        <v>20</v>
      </c>
      <c r="B44" s="17">
        <v>0.26651200000000003</v>
      </c>
      <c r="C44" s="17">
        <v>0.72428800000000004</v>
      </c>
      <c r="D44" s="17">
        <v>0.70764000000000005</v>
      </c>
      <c r="E44" s="17">
        <v>0.26369799999999999</v>
      </c>
      <c r="F44" s="17">
        <v>0.168465</v>
      </c>
      <c r="G44" s="17">
        <v>0.444185</v>
      </c>
    </row>
    <row r="45" spans="1:7" x14ac:dyDescent="0.5">
      <c r="A45" s="16" t="s">
        <v>21</v>
      </c>
      <c r="B45" s="17">
        <v>0.17404800000000001</v>
      </c>
      <c r="C45" s="17">
        <v>0.67260399999999998</v>
      </c>
      <c r="D45" s="17">
        <v>0.70879999999999999</v>
      </c>
      <c r="E45" s="17">
        <v>0.170901</v>
      </c>
      <c r="F45" s="17">
        <v>0.23388800000000001</v>
      </c>
      <c r="G45" s="17">
        <v>0.39466200000000001</v>
      </c>
    </row>
    <row r="46" spans="1:7" x14ac:dyDescent="0.5">
      <c r="A46" s="16" t="s">
        <v>22</v>
      </c>
      <c r="B46" s="17">
        <v>0.15190500000000001</v>
      </c>
      <c r="C46" s="17">
        <v>0.58972500000000005</v>
      </c>
      <c r="D46" s="17">
        <v>0.64728200000000002</v>
      </c>
      <c r="E46" s="17">
        <v>0.192352</v>
      </c>
      <c r="F46" s="17">
        <v>0.20896700000000001</v>
      </c>
      <c r="G46" s="17">
        <v>0.33016400000000001</v>
      </c>
    </row>
    <row r="47" spans="1:7" x14ac:dyDescent="0.5">
      <c r="A47" s="16" t="s">
        <v>23</v>
      </c>
      <c r="B47" s="17">
        <v>0.194075</v>
      </c>
      <c r="C47" s="17">
        <v>0.54304699999999995</v>
      </c>
      <c r="D47" s="17">
        <v>0.48998900000000001</v>
      </c>
      <c r="E47" s="17">
        <v>0.150006</v>
      </c>
      <c r="F47" s="17">
        <v>0.20471200000000001</v>
      </c>
      <c r="G47" s="17">
        <v>0.26757199999999998</v>
      </c>
    </row>
    <row r="48" spans="1:7" x14ac:dyDescent="0.5">
      <c r="A48" s="16" t="s">
        <v>24</v>
      </c>
      <c r="B48" s="17">
        <v>0.24018600000000001</v>
      </c>
      <c r="C48" s="17">
        <v>0.55023599999999995</v>
      </c>
      <c r="D48" s="17">
        <v>0.28646899999999997</v>
      </c>
      <c r="E48" s="17">
        <v>0.24388599999999999</v>
      </c>
      <c r="F48" s="17">
        <v>0.22294</v>
      </c>
      <c r="G48" s="17">
        <v>0.22231699999999999</v>
      </c>
    </row>
    <row r="49" spans="1:7" x14ac:dyDescent="0.5">
      <c r="A49" s="16" t="s">
        <v>25</v>
      </c>
      <c r="B49" s="17">
        <v>0.27555800000000003</v>
      </c>
      <c r="C49" s="17">
        <v>0.56646700000000005</v>
      </c>
      <c r="D49" s="17">
        <v>0.152425</v>
      </c>
      <c r="E49" s="17">
        <v>0.15784400000000001</v>
      </c>
      <c r="F49" s="17">
        <v>0.17141300000000001</v>
      </c>
      <c r="G49" s="17">
        <v>0.20780000000000001</v>
      </c>
    </row>
    <row r="50" spans="1:7" x14ac:dyDescent="0.5">
      <c r="A50" s="16" t="s">
        <v>26</v>
      </c>
      <c r="B50" s="17">
        <v>0.32114799999999999</v>
      </c>
      <c r="C50" s="17">
        <v>0.60649699999999995</v>
      </c>
      <c r="D50" s="17">
        <v>0.19717499999999999</v>
      </c>
      <c r="E50" s="17">
        <v>0.16598499999999999</v>
      </c>
      <c r="F50" s="17">
        <v>0.124489</v>
      </c>
      <c r="G50" s="17">
        <v>0.21717600000000001</v>
      </c>
    </row>
    <row r="51" spans="1:7" x14ac:dyDescent="0.5">
      <c r="A51" s="16" t="s">
        <v>27</v>
      </c>
      <c r="B51" s="17">
        <v>0.40294999999999997</v>
      </c>
      <c r="C51" s="17">
        <v>0.67234300000000002</v>
      </c>
      <c r="D51" s="17">
        <v>0.10162599999999999</v>
      </c>
      <c r="E51" s="17">
        <v>0.168235</v>
      </c>
      <c r="F51" s="17">
        <v>0.141789</v>
      </c>
      <c r="G51" s="17">
        <v>0.23926700000000001</v>
      </c>
    </row>
    <row r="52" spans="1:7" x14ac:dyDescent="0.5">
      <c r="A52" s="16" t="s">
        <v>28</v>
      </c>
      <c r="B52" s="17">
        <v>0.49748300000000001</v>
      </c>
      <c r="C52" s="17">
        <v>0.75920399999999999</v>
      </c>
      <c r="D52" s="17">
        <v>0.165879</v>
      </c>
      <c r="E52" s="17">
        <v>0.17841899999999999</v>
      </c>
      <c r="F52" s="17">
        <v>0.13314999999999999</v>
      </c>
      <c r="G52" s="17">
        <v>0.278748</v>
      </c>
    </row>
    <row r="53" spans="1:7" x14ac:dyDescent="0.5">
      <c r="A53" s="16" t="s">
        <v>29</v>
      </c>
      <c r="B53" s="17">
        <v>0.59851799999999999</v>
      </c>
      <c r="C53" s="17">
        <v>0.81362400000000001</v>
      </c>
      <c r="D53" s="17">
        <v>0.291742</v>
      </c>
      <c r="E53" s="17">
        <v>0.122906</v>
      </c>
      <c r="F53" s="17">
        <v>0.13123199999999999</v>
      </c>
      <c r="G53" s="17">
        <v>0.337696</v>
      </c>
    </row>
    <row r="56" spans="1:7" x14ac:dyDescent="0.5">
      <c r="A56" t="s">
        <v>133</v>
      </c>
      <c r="B56" t="s">
        <v>132</v>
      </c>
    </row>
    <row r="57" spans="1:7" x14ac:dyDescent="0.5">
      <c r="A57" t="s">
        <v>6</v>
      </c>
      <c r="B57">
        <v>1775.8349999999996</v>
      </c>
    </row>
    <row r="58" spans="1:7" x14ac:dyDescent="0.5">
      <c r="A58" t="s">
        <v>7</v>
      </c>
      <c r="B58">
        <v>1669.8150000000001</v>
      </c>
    </row>
    <row r="59" spans="1:7" x14ac:dyDescent="0.5">
      <c r="A59" t="s">
        <v>8</v>
      </c>
      <c r="B59">
        <v>1590.2999999999997</v>
      </c>
    </row>
    <row r="60" spans="1:7" x14ac:dyDescent="0.5">
      <c r="A60" t="s">
        <v>9</v>
      </c>
      <c r="B60">
        <v>1563.7949999999998</v>
      </c>
    </row>
    <row r="61" spans="1:7" x14ac:dyDescent="0.5">
      <c r="A61" t="s">
        <v>10</v>
      </c>
      <c r="B61">
        <v>1563.7949999999998</v>
      </c>
    </row>
    <row r="62" spans="1:7" x14ac:dyDescent="0.5">
      <c r="A62" t="s">
        <v>11</v>
      </c>
      <c r="B62">
        <v>1590.2999999999997</v>
      </c>
    </row>
    <row r="63" spans="1:7" x14ac:dyDescent="0.5">
      <c r="A63" t="s">
        <v>12</v>
      </c>
      <c r="B63">
        <v>1961.37</v>
      </c>
    </row>
    <row r="64" spans="1:7" x14ac:dyDescent="0.5">
      <c r="A64" t="s">
        <v>13</v>
      </c>
      <c r="B64">
        <v>2279.4299999999998</v>
      </c>
    </row>
    <row r="65" spans="1:2" x14ac:dyDescent="0.5">
      <c r="A65" t="s">
        <v>14</v>
      </c>
      <c r="B65">
        <v>2417.9749999999999</v>
      </c>
    </row>
    <row r="66" spans="1:2" x14ac:dyDescent="0.5">
      <c r="A66" t="s">
        <v>15</v>
      </c>
      <c r="B66">
        <v>2544.48</v>
      </c>
    </row>
    <row r="67" spans="1:2" x14ac:dyDescent="0.5">
      <c r="A67" t="s">
        <v>16</v>
      </c>
      <c r="B67">
        <v>2544.48</v>
      </c>
    </row>
    <row r="68" spans="1:2" x14ac:dyDescent="0.5">
      <c r="A68" t="s">
        <v>17</v>
      </c>
      <c r="B68">
        <v>2517.9749999999999</v>
      </c>
    </row>
    <row r="69" spans="1:2" x14ac:dyDescent="0.5">
      <c r="A69" t="s">
        <v>18</v>
      </c>
      <c r="B69">
        <v>2517.9749999999999</v>
      </c>
    </row>
    <row r="70" spans="1:2" x14ac:dyDescent="0.5">
      <c r="A70" t="s">
        <v>19</v>
      </c>
      <c r="B70">
        <v>2517.9749999999999</v>
      </c>
    </row>
    <row r="71" spans="1:2" x14ac:dyDescent="0.5">
      <c r="A71" t="s">
        <v>20</v>
      </c>
      <c r="B71">
        <v>2464.9649999999997</v>
      </c>
    </row>
    <row r="72" spans="1:2" x14ac:dyDescent="0.5">
      <c r="A72" t="s">
        <v>21</v>
      </c>
      <c r="B72">
        <v>2464.9649999999997</v>
      </c>
    </row>
    <row r="73" spans="1:2" x14ac:dyDescent="0.5">
      <c r="A73" t="s">
        <v>22</v>
      </c>
      <c r="B73">
        <v>2623.9949999999994</v>
      </c>
    </row>
    <row r="74" spans="1:2" x14ac:dyDescent="0.5">
      <c r="A74" t="s">
        <v>23</v>
      </c>
      <c r="B74">
        <v>2650.4999999999995</v>
      </c>
    </row>
    <row r="75" spans="1:2" x14ac:dyDescent="0.5">
      <c r="A75" t="s">
        <v>24</v>
      </c>
      <c r="B75">
        <v>2650.4999999999995</v>
      </c>
    </row>
    <row r="76" spans="1:2" x14ac:dyDescent="0.5">
      <c r="A76" t="s">
        <v>25</v>
      </c>
      <c r="B76">
        <v>2544.48</v>
      </c>
    </row>
    <row r="77" spans="1:2" x14ac:dyDescent="0.5">
      <c r="A77" t="s">
        <v>26</v>
      </c>
      <c r="B77">
        <v>2411.9549999999999</v>
      </c>
    </row>
    <row r="78" spans="1:2" x14ac:dyDescent="0.5">
      <c r="A78" t="s">
        <v>27</v>
      </c>
      <c r="B78">
        <v>2199.9149999999995</v>
      </c>
    </row>
    <row r="79" spans="1:2" x14ac:dyDescent="0.5">
      <c r="A79" t="s">
        <v>28</v>
      </c>
      <c r="B79">
        <v>1934.8649999999998</v>
      </c>
    </row>
    <row r="80" spans="1:2" x14ac:dyDescent="0.5">
      <c r="A80" t="s">
        <v>29</v>
      </c>
      <c r="B80">
        <v>1669.8150000000001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E38F-1847-4AFE-BD89-A22529A95E54}">
  <dimension ref="A1:G25"/>
  <sheetViews>
    <sheetView zoomScale="85" zoomScaleNormal="85" workbookViewId="0">
      <selection activeCell="L20" sqref="L20"/>
    </sheetView>
  </sheetViews>
  <sheetFormatPr defaultRowHeight="17.649999999999999" x14ac:dyDescent="0.5"/>
  <cols>
    <col min="2" max="7" width="9.15625" bestFit="1" customWidth="1"/>
  </cols>
  <sheetData>
    <row r="1" spans="1:7" x14ac:dyDescent="0.5">
      <c r="A1" s="2" t="s">
        <v>122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</row>
    <row r="2" spans="1:7" x14ac:dyDescent="0.5">
      <c r="A2" s="2">
        <v>1</v>
      </c>
      <c r="B2" s="16">
        <v>170.74180000000001</v>
      </c>
      <c r="C2" s="16">
        <v>184.27760000000001</v>
      </c>
      <c r="D2" s="16">
        <v>186.22200000000001</v>
      </c>
      <c r="E2" s="16">
        <v>178.45679999999999</v>
      </c>
      <c r="F2" s="16">
        <v>168.24420000000001</v>
      </c>
      <c r="G2" s="16">
        <v>179.6832</v>
      </c>
    </row>
    <row r="3" spans="1:7" x14ac:dyDescent="0.5">
      <c r="A3" s="2">
        <v>2</v>
      </c>
      <c r="B3" s="16">
        <v>167.6602</v>
      </c>
      <c r="C3" s="16">
        <v>182.59559999999999</v>
      </c>
      <c r="D3" s="16">
        <v>186.60000000000002</v>
      </c>
      <c r="E3" s="16">
        <v>180.07919999999999</v>
      </c>
      <c r="F3" s="16">
        <v>170.83320000000001</v>
      </c>
      <c r="G3" s="16">
        <v>180.31539999999998</v>
      </c>
    </row>
    <row r="4" spans="1:7" x14ac:dyDescent="0.5">
      <c r="A4" s="2">
        <v>3</v>
      </c>
      <c r="B4" s="16">
        <v>162.05600000000001</v>
      </c>
      <c r="C4" s="16">
        <v>180.2328</v>
      </c>
      <c r="D4" s="16">
        <v>185.74779999999998</v>
      </c>
      <c r="E4" s="16">
        <v>179.58019999999999</v>
      </c>
      <c r="F4" s="16">
        <v>171.0916</v>
      </c>
      <c r="G4" s="16">
        <v>179.3372</v>
      </c>
    </row>
    <row r="5" spans="1:7" x14ac:dyDescent="0.5">
      <c r="A5" s="2">
        <v>4</v>
      </c>
      <c r="B5" s="16">
        <v>154.22460000000001</v>
      </c>
      <c r="C5" s="16">
        <v>176.5164</v>
      </c>
      <c r="D5" s="16">
        <v>184.84179999999998</v>
      </c>
      <c r="E5" s="16">
        <v>179.98740000000001</v>
      </c>
      <c r="F5" s="16">
        <v>172.7354</v>
      </c>
      <c r="G5" s="16">
        <v>178.529</v>
      </c>
    </row>
    <row r="6" spans="1:7" x14ac:dyDescent="0.5">
      <c r="A6" s="2">
        <v>5</v>
      </c>
      <c r="B6" s="16">
        <v>149.0736</v>
      </c>
      <c r="C6" s="16">
        <v>171.68460000000002</v>
      </c>
      <c r="D6" s="16">
        <v>183.215</v>
      </c>
      <c r="E6" s="16">
        <v>180.2192</v>
      </c>
      <c r="F6" s="16">
        <v>174.06100000000001</v>
      </c>
      <c r="G6" s="16">
        <v>177.21620000000001</v>
      </c>
    </row>
    <row r="7" spans="1:7" x14ac:dyDescent="0.5">
      <c r="A7" s="2">
        <v>6</v>
      </c>
      <c r="B7" s="16">
        <v>144.3468</v>
      </c>
      <c r="C7" s="16">
        <v>163.97800000000001</v>
      </c>
      <c r="D7" s="16">
        <v>180.61179999999999</v>
      </c>
      <c r="E7" s="16">
        <v>179.78639999999999</v>
      </c>
      <c r="F7" s="16">
        <v>174.49460000000002</v>
      </c>
      <c r="G7" s="16">
        <v>174.61580000000001</v>
      </c>
    </row>
    <row r="8" spans="1:7" x14ac:dyDescent="0.5">
      <c r="A8" s="2">
        <v>7</v>
      </c>
      <c r="B8" s="16">
        <v>138.12479999999999</v>
      </c>
      <c r="C8" s="16">
        <v>158.01639999999998</v>
      </c>
      <c r="D8" s="16">
        <v>176.98560000000001</v>
      </c>
      <c r="E8" s="16">
        <v>177.82899999999998</v>
      </c>
      <c r="F8" s="16">
        <v>172.30279999999999</v>
      </c>
      <c r="G8" s="16">
        <v>171.18459999999999</v>
      </c>
    </row>
    <row r="9" spans="1:7" x14ac:dyDescent="0.5">
      <c r="A9" s="2">
        <v>8</v>
      </c>
      <c r="B9" s="16">
        <v>133.14159999999998</v>
      </c>
      <c r="C9" s="16">
        <v>155.72839999999999</v>
      </c>
      <c r="D9" s="16">
        <v>171.965</v>
      </c>
      <c r="E9" s="16">
        <v>173.35739999999998</v>
      </c>
      <c r="F9" s="16">
        <v>163.45860000000002</v>
      </c>
      <c r="G9" s="16">
        <v>166.279</v>
      </c>
    </row>
    <row r="10" spans="1:7" x14ac:dyDescent="0.5">
      <c r="A10" s="2">
        <v>9</v>
      </c>
      <c r="B10" s="16">
        <v>132.887</v>
      </c>
      <c r="C10" s="16">
        <v>153.1096</v>
      </c>
      <c r="D10" s="16">
        <v>167.33080000000001</v>
      </c>
      <c r="E10" s="16">
        <v>167.69559999999998</v>
      </c>
      <c r="F10" s="16">
        <v>143.76839999999999</v>
      </c>
      <c r="G10" s="16">
        <v>159.08459999999999</v>
      </c>
    </row>
    <row r="11" spans="1:7" x14ac:dyDescent="0.5">
      <c r="A11" s="2">
        <v>10</v>
      </c>
      <c r="B11" s="16">
        <v>131.13239999999999</v>
      </c>
      <c r="C11" s="16">
        <v>147.3674</v>
      </c>
      <c r="D11" s="16">
        <v>161.39400000000001</v>
      </c>
      <c r="E11" s="16">
        <v>155.69980000000001</v>
      </c>
      <c r="F11" s="16">
        <v>116.4876</v>
      </c>
      <c r="G11" s="16">
        <v>147.38919999999999</v>
      </c>
    </row>
    <row r="12" spans="1:7" x14ac:dyDescent="0.5">
      <c r="A12" s="2">
        <v>11</v>
      </c>
      <c r="B12" s="16">
        <v>134.67400000000001</v>
      </c>
      <c r="C12" s="16">
        <v>142.14180000000002</v>
      </c>
      <c r="D12" s="16">
        <v>154.0412</v>
      </c>
      <c r="E12" s="16">
        <v>143.208</v>
      </c>
      <c r="F12" s="16">
        <v>88.690399999999997</v>
      </c>
      <c r="G12" s="16">
        <v>135.31640000000002</v>
      </c>
    </row>
    <row r="13" spans="1:7" x14ac:dyDescent="0.5">
      <c r="A13" s="2">
        <v>12</v>
      </c>
      <c r="B13" s="16">
        <v>130.71980000000002</v>
      </c>
      <c r="C13" s="16">
        <v>141.14699999999999</v>
      </c>
      <c r="D13" s="16">
        <v>149.4134</v>
      </c>
      <c r="E13" s="16">
        <v>124.0094</v>
      </c>
      <c r="F13" s="16">
        <v>60.303200000000004</v>
      </c>
      <c r="G13" s="16">
        <v>122.53179999999999</v>
      </c>
    </row>
    <row r="14" spans="1:7" x14ac:dyDescent="0.5">
      <c r="A14" s="2">
        <v>13</v>
      </c>
      <c r="B14" s="16">
        <v>103.40199999999999</v>
      </c>
      <c r="C14" s="16">
        <v>140.29499999999999</v>
      </c>
      <c r="D14" s="16">
        <v>145.4288</v>
      </c>
      <c r="E14" s="16">
        <v>94.140999999999991</v>
      </c>
      <c r="F14" s="16">
        <v>32.936</v>
      </c>
      <c r="G14" s="16">
        <v>106.31580000000001</v>
      </c>
    </row>
    <row r="15" spans="1:7" x14ac:dyDescent="0.5">
      <c r="A15" s="2">
        <v>14</v>
      </c>
      <c r="B15" s="16">
        <v>81.033999999999992</v>
      </c>
      <c r="C15" s="16">
        <v>143.10739999999998</v>
      </c>
      <c r="D15" s="16">
        <v>142.71940000000001</v>
      </c>
      <c r="E15" s="16">
        <v>73.851199999999992</v>
      </c>
      <c r="F15" s="16">
        <v>39.692599999999999</v>
      </c>
      <c r="G15" s="16">
        <v>97.026199999999989</v>
      </c>
    </row>
    <row r="16" spans="1:7" x14ac:dyDescent="0.5">
      <c r="A16" s="2">
        <v>15</v>
      </c>
      <c r="B16" s="16">
        <v>53.302400000000006</v>
      </c>
      <c r="C16" s="16">
        <v>144.85760000000002</v>
      </c>
      <c r="D16" s="16">
        <v>141.52800000000002</v>
      </c>
      <c r="E16" s="16">
        <v>52.739599999999996</v>
      </c>
      <c r="F16" s="16">
        <v>33.692999999999998</v>
      </c>
      <c r="G16" s="16">
        <v>88.837000000000003</v>
      </c>
    </row>
    <row r="17" spans="1:7" x14ac:dyDescent="0.5">
      <c r="A17" s="2">
        <v>16</v>
      </c>
      <c r="B17" s="16">
        <v>34.809600000000003</v>
      </c>
      <c r="C17" s="16">
        <v>134.52080000000001</v>
      </c>
      <c r="D17" s="16">
        <v>141.76</v>
      </c>
      <c r="E17" s="16">
        <v>34.180199999999999</v>
      </c>
      <c r="F17" s="16">
        <v>46.7776</v>
      </c>
      <c r="G17" s="16">
        <v>78.932400000000001</v>
      </c>
    </row>
    <row r="18" spans="1:7" x14ac:dyDescent="0.5">
      <c r="A18" s="2">
        <v>17</v>
      </c>
      <c r="B18" s="16">
        <v>30.381000000000004</v>
      </c>
      <c r="C18" s="16">
        <v>117.94500000000001</v>
      </c>
      <c r="D18" s="16">
        <v>129.4564</v>
      </c>
      <c r="E18" s="16">
        <v>38.470399999999998</v>
      </c>
      <c r="F18" s="16">
        <v>41.793400000000005</v>
      </c>
      <c r="G18" s="16">
        <v>66.032800000000009</v>
      </c>
    </row>
    <row r="19" spans="1:7" x14ac:dyDescent="0.5">
      <c r="A19" s="2">
        <v>18</v>
      </c>
      <c r="B19" s="16">
        <v>38.814999999999998</v>
      </c>
      <c r="C19" s="16">
        <v>108.60939999999999</v>
      </c>
      <c r="D19" s="16">
        <v>97.997799999999998</v>
      </c>
      <c r="E19" s="16">
        <v>30.001200000000001</v>
      </c>
      <c r="F19" s="16">
        <v>40.942399999999999</v>
      </c>
      <c r="G19" s="16">
        <v>53.514399999999995</v>
      </c>
    </row>
    <row r="20" spans="1:7" x14ac:dyDescent="0.5">
      <c r="A20" s="2">
        <v>19</v>
      </c>
      <c r="B20" s="16">
        <v>48.037199999999999</v>
      </c>
      <c r="C20" s="16">
        <v>110.04719999999999</v>
      </c>
      <c r="D20" s="16">
        <v>57.293799999999997</v>
      </c>
      <c r="E20" s="16">
        <v>48.777200000000001</v>
      </c>
      <c r="F20" s="16">
        <v>44.588000000000001</v>
      </c>
      <c r="G20" s="16">
        <v>44.4634</v>
      </c>
    </row>
    <row r="21" spans="1:7" x14ac:dyDescent="0.5">
      <c r="A21" s="2">
        <v>20</v>
      </c>
      <c r="B21" s="16">
        <v>55.111600000000003</v>
      </c>
      <c r="C21" s="16">
        <v>113.29340000000001</v>
      </c>
      <c r="D21" s="16">
        <v>30.484999999999999</v>
      </c>
      <c r="E21" s="16">
        <v>31.568800000000003</v>
      </c>
      <c r="F21" s="16">
        <v>34.282600000000002</v>
      </c>
      <c r="G21" s="16">
        <v>41.56</v>
      </c>
    </row>
    <row r="22" spans="1:7" x14ac:dyDescent="0.5">
      <c r="A22" s="2">
        <v>21</v>
      </c>
      <c r="B22" s="16">
        <v>64.229600000000005</v>
      </c>
      <c r="C22" s="16">
        <v>121.29939999999999</v>
      </c>
      <c r="D22" s="16">
        <v>39.434999999999995</v>
      </c>
      <c r="E22" s="16">
        <v>33.196999999999996</v>
      </c>
      <c r="F22" s="16">
        <v>24.8978</v>
      </c>
      <c r="G22" s="16">
        <v>43.435200000000002</v>
      </c>
    </row>
    <row r="23" spans="1:7" x14ac:dyDescent="0.5">
      <c r="A23" s="2">
        <v>22</v>
      </c>
      <c r="B23" s="16">
        <v>80.589999999999989</v>
      </c>
      <c r="C23" s="16">
        <v>134.46860000000001</v>
      </c>
      <c r="D23" s="16">
        <v>20.325199999999999</v>
      </c>
      <c r="E23" s="16">
        <v>33.646999999999998</v>
      </c>
      <c r="F23" s="16">
        <v>28.357800000000001</v>
      </c>
      <c r="G23" s="16">
        <v>47.853400000000001</v>
      </c>
    </row>
    <row r="24" spans="1:7" x14ac:dyDescent="0.5">
      <c r="A24" s="2">
        <v>23</v>
      </c>
      <c r="B24" s="16">
        <v>99.496600000000001</v>
      </c>
      <c r="C24" s="16">
        <v>151.8408</v>
      </c>
      <c r="D24" s="16">
        <v>33.175800000000002</v>
      </c>
      <c r="E24" s="16">
        <v>35.683799999999998</v>
      </c>
      <c r="F24" s="16">
        <v>26.63</v>
      </c>
      <c r="G24" s="16">
        <v>55.749600000000001</v>
      </c>
    </row>
    <row r="25" spans="1:7" x14ac:dyDescent="0.5">
      <c r="A25" s="2">
        <v>24</v>
      </c>
      <c r="B25" s="16">
        <v>119.70359999999999</v>
      </c>
      <c r="C25" s="16">
        <v>162.72480000000002</v>
      </c>
      <c r="D25" s="16">
        <v>58.348399999999998</v>
      </c>
      <c r="E25" s="16">
        <v>24.581199999999999</v>
      </c>
      <c r="F25" s="16">
        <v>26.246399999999998</v>
      </c>
      <c r="G25" s="16">
        <v>67.539199999999994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1E82-26C4-4261-A084-C56C1C8B1018}">
  <dimension ref="A1:Y7"/>
  <sheetViews>
    <sheetView zoomScale="70" zoomScaleNormal="70" workbookViewId="0">
      <selection activeCell="J18" sqref="J18"/>
    </sheetView>
  </sheetViews>
  <sheetFormatPr defaultRowHeight="17.649999999999999" x14ac:dyDescent="0.5"/>
  <sheetData>
    <row r="1" spans="1:25" x14ac:dyDescent="0.5">
      <c r="A1" t="s">
        <v>125</v>
      </c>
      <c r="B1" t="s">
        <v>73</v>
      </c>
      <c r="C1" t="s">
        <v>74</v>
      </c>
      <c r="D1" t="s">
        <v>76</v>
      </c>
      <c r="E1" t="s">
        <v>77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</row>
    <row r="2" spans="1:25" x14ac:dyDescent="0.5">
      <c r="A2" t="s">
        <v>113</v>
      </c>
      <c r="D2">
        <v>1</v>
      </c>
    </row>
    <row r="3" spans="1:25" x14ac:dyDescent="0.5">
      <c r="A3" t="s">
        <v>114</v>
      </c>
      <c r="F3">
        <v>1</v>
      </c>
    </row>
    <row r="4" spans="1:25" x14ac:dyDescent="0.5">
      <c r="A4" t="s">
        <v>115</v>
      </c>
      <c r="H4">
        <v>1</v>
      </c>
    </row>
    <row r="5" spans="1:25" x14ac:dyDescent="0.5">
      <c r="A5" t="s">
        <v>116</v>
      </c>
      <c r="Q5">
        <v>1</v>
      </c>
    </row>
    <row r="6" spans="1:25" x14ac:dyDescent="0.5">
      <c r="A6" t="s">
        <v>117</v>
      </c>
      <c r="V6">
        <v>1</v>
      </c>
    </row>
    <row r="7" spans="1:25" x14ac:dyDescent="0.5">
      <c r="A7" t="s">
        <v>118</v>
      </c>
      <c r="X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gen_map</vt:lpstr>
      <vt:lpstr>gen_data</vt:lpstr>
      <vt:lpstr>load_data</vt:lpstr>
      <vt:lpstr>hourly_load</vt:lpstr>
      <vt:lpstr>line_map</vt:lpstr>
      <vt:lpstr>line_data</vt:lpstr>
      <vt:lpstr>bess_map</vt:lpstr>
      <vt:lpstr>zone_map</vt:lpstr>
      <vt:lpstr>bess_data</vt:lpstr>
      <vt:lpstr>wind_data</vt:lpstr>
      <vt:lpstr>cal_wind</vt:lpstr>
      <vt:lpstr>hourly_wind</vt:lpstr>
      <vt:lpstr>wind_map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Quoc Anh 20210075</dc:creator>
  <cp:lastModifiedBy>Quoc Anh Vu</cp:lastModifiedBy>
  <dcterms:created xsi:type="dcterms:W3CDTF">2025-03-03T09:28:51Z</dcterms:created>
  <dcterms:modified xsi:type="dcterms:W3CDTF">2026-03-02T15:33:25Z</dcterms:modified>
</cp:coreProperties>
</file>